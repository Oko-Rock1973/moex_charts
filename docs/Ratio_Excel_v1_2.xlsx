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ким\Desktop\"/>
    </mc:Choice>
  </mc:AlternateContent>
  <xr:revisionPtr revIDLastSave="0" documentId="8_{BBA948A9-D5A9-4518-8C51-83D058CD71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0_ИНСТРУКЦИЯ" sheetId="1" r:id="rId1"/>
    <sheet name="01_КАЛЬКУЛЯТОР" sheetId="2" r:id="rId2"/>
    <sheet name="02_ПОРТФЕЛЬ" sheetId="3" r:id="rId3"/>
    <sheet name="03_РИСК" sheetId="4" r:id="rId4"/>
    <sheet name="04_СЦЕНАРИИ" sheetId="5" r:id="rId5"/>
    <sheet name="05_ЖУРНАЛ" sheetId="6" r:id="rId6"/>
    <sheet name="06_СПРАВОЧНИКИ" sheetId="7" r:id="rId7"/>
  </sheets>
  <calcPr calcId="181029"/>
</workbook>
</file>

<file path=xl/calcChain.xml><?xml version="1.0" encoding="utf-8"?>
<calcChain xmlns="http://schemas.openxmlformats.org/spreadsheetml/2006/main">
  <c r="B67" i="6" l="1"/>
  <c r="B66" i="6"/>
  <c r="B65" i="6"/>
  <c r="B64" i="6"/>
  <c r="B63" i="6"/>
  <c r="B62" i="6"/>
  <c r="B61" i="6"/>
  <c r="B60" i="6"/>
  <c r="B59" i="6"/>
  <c r="B58" i="6"/>
  <c r="H54" i="6"/>
  <c r="K54" i="6" s="1"/>
  <c r="K53" i="6"/>
  <c r="H53" i="6"/>
  <c r="I53" i="6" s="1"/>
  <c r="I52" i="6"/>
  <c r="H52" i="6"/>
  <c r="K52" i="6" s="1"/>
  <c r="H51" i="6"/>
  <c r="I51" i="6" s="1"/>
  <c r="K50" i="6"/>
  <c r="I50" i="6"/>
  <c r="H50" i="6"/>
  <c r="K49" i="6"/>
  <c r="H49" i="6"/>
  <c r="I49" i="6" s="1"/>
  <c r="I48" i="6"/>
  <c r="H48" i="6"/>
  <c r="K48" i="6" s="1"/>
  <c r="H47" i="6"/>
  <c r="I47" i="6" s="1"/>
  <c r="K46" i="6"/>
  <c r="I46" i="6"/>
  <c r="H46" i="6"/>
  <c r="K45" i="6"/>
  <c r="H45" i="6"/>
  <c r="I45" i="6" s="1"/>
  <c r="I44" i="6"/>
  <c r="H44" i="6"/>
  <c r="K44" i="6" s="1"/>
  <c r="H43" i="6"/>
  <c r="I43" i="6" s="1"/>
  <c r="K42" i="6"/>
  <c r="I42" i="6"/>
  <c r="H42" i="6"/>
  <c r="K41" i="6"/>
  <c r="H41" i="6"/>
  <c r="I41" i="6" s="1"/>
  <c r="I40" i="6"/>
  <c r="H40" i="6"/>
  <c r="K40" i="6" s="1"/>
  <c r="H39" i="6"/>
  <c r="I39" i="6" s="1"/>
  <c r="K38" i="6"/>
  <c r="I38" i="6"/>
  <c r="H38" i="6"/>
  <c r="K37" i="6"/>
  <c r="H37" i="6"/>
  <c r="I37" i="6" s="1"/>
  <c r="I36" i="6"/>
  <c r="H36" i="6"/>
  <c r="K36" i="6" s="1"/>
  <c r="H35" i="6"/>
  <c r="I35" i="6" s="1"/>
  <c r="K34" i="6"/>
  <c r="I34" i="6"/>
  <c r="H34" i="6"/>
  <c r="K33" i="6"/>
  <c r="H33" i="6"/>
  <c r="I33" i="6" s="1"/>
  <c r="I32" i="6"/>
  <c r="H32" i="6"/>
  <c r="K32" i="6" s="1"/>
  <c r="H31" i="6"/>
  <c r="I31" i="6" s="1"/>
  <c r="K30" i="6"/>
  <c r="I30" i="6"/>
  <c r="H30" i="6"/>
  <c r="K29" i="6"/>
  <c r="H29" i="6"/>
  <c r="I29" i="6" s="1"/>
  <c r="I28" i="6"/>
  <c r="H28" i="6"/>
  <c r="K28" i="6" s="1"/>
  <c r="H27" i="6"/>
  <c r="I27" i="6" s="1"/>
  <c r="K26" i="6"/>
  <c r="I26" i="6"/>
  <c r="H26" i="6"/>
  <c r="K25" i="6"/>
  <c r="H25" i="6"/>
  <c r="I25" i="6" s="1"/>
  <c r="I24" i="6"/>
  <c r="H24" i="6"/>
  <c r="K24" i="6" s="1"/>
  <c r="H23" i="6"/>
  <c r="I23" i="6" s="1"/>
  <c r="K22" i="6"/>
  <c r="I22" i="6"/>
  <c r="H22" i="6"/>
  <c r="K21" i="6"/>
  <c r="H21" i="6"/>
  <c r="I21" i="6" s="1"/>
  <c r="I20" i="6"/>
  <c r="H20" i="6"/>
  <c r="K20" i="6" s="1"/>
  <c r="H19" i="6"/>
  <c r="I19" i="6" s="1"/>
  <c r="K18" i="6"/>
  <c r="I18" i="6"/>
  <c r="H18" i="6"/>
  <c r="K17" i="6"/>
  <c r="H17" i="6"/>
  <c r="I17" i="6" s="1"/>
  <c r="I16" i="6"/>
  <c r="H16" i="6"/>
  <c r="K16" i="6" s="1"/>
  <c r="H15" i="6"/>
  <c r="I15" i="6" s="1"/>
  <c r="K14" i="6"/>
  <c r="I14" i="6"/>
  <c r="H14" i="6"/>
  <c r="K13" i="6"/>
  <c r="H13" i="6"/>
  <c r="I13" i="6" s="1"/>
  <c r="I12" i="6"/>
  <c r="H12" i="6"/>
  <c r="K12" i="6" s="1"/>
  <c r="H11" i="6"/>
  <c r="I11" i="6" s="1"/>
  <c r="K10" i="6"/>
  <c r="I10" i="6"/>
  <c r="H10" i="6"/>
  <c r="K9" i="6"/>
  <c r="H9" i="6"/>
  <c r="I9" i="6" s="1"/>
  <c r="I8" i="6"/>
  <c r="H8" i="6"/>
  <c r="K8" i="6" s="1"/>
  <c r="H7" i="6"/>
  <c r="I7" i="6" s="1"/>
  <c r="K6" i="6"/>
  <c r="I6" i="6"/>
  <c r="H6" i="6"/>
  <c r="K5" i="6"/>
  <c r="H5" i="6"/>
  <c r="I5" i="6" s="1"/>
  <c r="D20" i="4"/>
  <c r="B20" i="4"/>
  <c r="D19" i="4"/>
  <c r="B19" i="4"/>
  <c r="D18" i="4"/>
  <c r="B18" i="4"/>
  <c r="D17" i="4"/>
  <c r="B17" i="4"/>
  <c r="D16" i="4"/>
  <c r="B16" i="4"/>
  <c r="D15" i="4"/>
  <c r="B15" i="4"/>
  <c r="D14" i="4"/>
  <c r="B14" i="4"/>
  <c r="L30" i="3"/>
  <c r="M30" i="3" s="1"/>
  <c r="K30" i="3"/>
  <c r="J30" i="3"/>
  <c r="G30" i="3"/>
  <c r="H30" i="3" s="1"/>
  <c r="J29" i="3"/>
  <c r="K29" i="3" s="1"/>
  <c r="L29" i="3" s="1"/>
  <c r="M29" i="3" s="1"/>
  <c r="G29" i="3"/>
  <c r="L28" i="3"/>
  <c r="M28" i="3" s="1"/>
  <c r="K28" i="3"/>
  <c r="J28" i="3"/>
  <c r="G28" i="3"/>
  <c r="H28" i="3" s="1"/>
  <c r="J27" i="3"/>
  <c r="K27" i="3" s="1"/>
  <c r="L27" i="3" s="1"/>
  <c r="M27" i="3" s="1"/>
  <c r="G27" i="3"/>
  <c r="L26" i="3"/>
  <c r="M26" i="3" s="1"/>
  <c r="K26" i="3"/>
  <c r="J26" i="3"/>
  <c r="G26" i="3"/>
  <c r="H26" i="3" s="1"/>
  <c r="J25" i="3"/>
  <c r="K25" i="3" s="1"/>
  <c r="L25" i="3" s="1"/>
  <c r="M25" i="3" s="1"/>
  <c r="G25" i="3"/>
  <c r="L24" i="3"/>
  <c r="M24" i="3" s="1"/>
  <c r="K24" i="3"/>
  <c r="J24" i="3"/>
  <c r="G24" i="3"/>
  <c r="H24" i="3" s="1"/>
  <c r="J23" i="3"/>
  <c r="K23" i="3" s="1"/>
  <c r="L23" i="3" s="1"/>
  <c r="M23" i="3" s="1"/>
  <c r="G23" i="3"/>
  <c r="L22" i="3"/>
  <c r="M22" i="3" s="1"/>
  <c r="K22" i="3"/>
  <c r="J22" i="3"/>
  <c r="G22" i="3"/>
  <c r="H22" i="3" s="1"/>
  <c r="J21" i="3"/>
  <c r="K21" i="3" s="1"/>
  <c r="L21" i="3" s="1"/>
  <c r="M21" i="3" s="1"/>
  <c r="G21" i="3"/>
  <c r="L20" i="3"/>
  <c r="M20" i="3" s="1"/>
  <c r="K20" i="3"/>
  <c r="J20" i="3"/>
  <c r="G20" i="3"/>
  <c r="H20" i="3" s="1"/>
  <c r="J19" i="3"/>
  <c r="K19" i="3" s="1"/>
  <c r="L19" i="3" s="1"/>
  <c r="M19" i="3" s="1"/>
  <c r="G19" i="3"/>
  <c r="L18" i="3"/>
  <c r="M18" i="3" s="1"/>
  <c r="K18" i="3"/>
  <c r="J18" i="3"/>
  <c r="G18" i="3"/>
  <c r="H18" i="3" s="1"/>
  <c r="J17" i="3"/>
  <c r="K17" i="3" s="1"/>
  <c r="L17" i="3" s="1"/>
  <c r="M17" i="3" s="1"/>
  <c r="G17" i="3"/>
  <c r="L16" i="3"/>
  <c r="M16" i="3" s="1"/>
  <c r="K16" i="3"/>
  <c r="J16" i="3"/>
  <c r="G16" i="3"/>
  <c r="H16" i="3" s="1"/>
  <c r="J15" i="3"/>
  <c r="K15" i="3" s="1"/>
  <c r="L15" i="3" s="1"/>
  <c r="M15" i="3" s="1"/>
  <c r="G15" i="3"/>
  <c r="L14" i="3"/>
  <c r="M14" i="3" s="1"/>
  <c r="K14" i="3"/>
  <c r="J14" i="3"/>
  <c r="G14" i="3"/>
  <c r="H14" i="3" s="1"/>
  <c r="J13" i="3"/>
  <c r="K13" i="3" s="1"/>
  <c r="L13" i="3" s="1"/>
  <c r="M13" i="3" s="1"/>
  <c r="G13" i="3"/>
  <c r="L12" i="3"/>
  <c r="M12" i="3" s="1"/>
  <c r="K12" i="3"/>
  <c r="J12" i="3"/>
  <c r="G12" i="3"/>
  <c r="H12" i="3" s="1"/>
  <c r="J11" i="3"/>
  <c r="K11" i="3" s="1"/>
  <c r="L11" i="3" s="1"/>
  <c r="G11" i="3"/>
  <c r="B4" i="3"/>
  <c r="B56" i="2"/>
  <c r="B54" i="2"/>
  <c r="B55" i="2" s="1"/>
  <c r="B57" i="2" s="1"/>
  <c r="B58" i="2" s="1"/>
  <c r="B59" i="2" s="1"/>
  <c r="B43" i="2"/>
  <c r="B44" i="2" s="1"/>
  <c r="B42" i="2"/>
  <c r="B41" i="2"/>
  <c r="B25" i="2"/>
  <c r="C66" i="2" s="1"/>
  <c r="B24" i="2"/>
  <c r="B27" i="2" s="1"/>
  <c r="B28" i="2" s="1"/>
  <c r="D15" i="2"/>
  <c r="B7" i="2"/>
  <c r="B32" i="2" s="1"/>
  <c r="B33" i="2" s="1"/>
  <c r="B46" i="2" l="1"/>
  <c r="B45" i="2"/>
  <c r="M11" i="3"/>
  <c r="B7" i="3"/>
  <c r="E14" i="4"/>
  <c r="E17" i="4"/>
  <c r="B34" i="2"/>
  <c r="B30" i="2"/>
  <c r="B31" i="2" s="1"/>
  <c r="B29" i="2"/>
  <c r="B51" i="2"/>
  <c r="B5" i="3"/>
  <c r="B4" i="4"/>
  <c r="E20" i="4" s="1"/>
  <c r="K7" i="6"/>
  <c r="K11" i="6"/>
  <c r="K15" i="6"/>
  <c r="K19" i="6"/>
  <c r="K23" i="6"/>
  <c r="K27" i="6"/>
  <c r="K31" i="6"/>
  <c r="K35" i="6"/>
  <c r="K39" i="6"/>
  <c r="K43" i="6"/>
  <c r="K47" i="6"/>
  <c r="K51" i="6"/>
  <c r="I54" i="6"/>
  <c r="B53" i="2"/>
  <c r="B52" i="2"/>
  <c r="C63" i="2"/>
  <c r="C65" i="2"/>
  <c r="C67" i="2"/>
  <c r="B6" i="3"/>
  <c r="B6" i="4" s="1"/>
  <c r="H11" i="3"/>
  <c r="H13" i="3"/>
  <c r="H15" i="3"/>
  <c r="H17" i="3"/>
  <c r="H19" i="3"/>
  <c r="H21" i="3"/>
  <c r="H23" i="3"/>
  <c r="H25" i="3"/>
  <c r="H27" i="3"/>
  <c r="H29" i="3"/>
  <c r="B49" i="2"/>
  <c r="B26" i="2"/>
  <c r="B50" i="2"/>
  <c r="C64" i="2"/>
  <c r="B7" i="4" l="1"/>
  <c r="B8" i="3"/>
  <c r="B8" i="4" s="1"/>
  <c r="C9" i="5"/>
  <c r="C19" i="4"/>
  <c r="C17" i="4"/>
  <c r="C16" i="4"/>
  <c r="C14" i="4"/>
  <c r="C20" i="4"/>
  <c r="C18" i="4"/>
  <c r="C15" i="4"/>
  <c r="E18" i="4"/>
  <c r="C7" i="5"/>
  <c r="C5" i="5"/>
  <c r="B5" i="4"/>
  <c r="C8" i="5"/>
  <c r="C6" i="5"/>
  <c r="D67" i="2"/>
  <c r="D63" i="2"/>
  <c r="B37" i="2"/>
  <c r="B38" i="2" s="1"/>
  <c r="D65" i="2"/>
  <c r="D66" i="2"/>
  <c r="D64" i="2"/>
  <c r="B35" i="2"/>
  <c r="B36" i="2" s="1"/>
  <c r="E16" i="4"/>
  <c r="E19" i="4"/>
  <c r="E15" i="4"/>
  <c r="D6" i="5" l="1"/>
  <c r="E6" i="5" s="1"/>
  <c r="D8" i="5"/>
  <c r="E8" i="5" s="1"/>
  <c r="D9" i="5"/>
  <c r="E9" i="5" s="1"/>
  <c r="D7" i="5"/>
  <c r="E7" i="5" s="1"/>
  <c r="D5" i="5"/>
  <c r="E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Кукловод</author>
  </authors>
  <commentList>
    <comment ref="B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РУЧНОЙ ВВОД — желтая ячейка</t>
        </r>
      </text>
    </comment>
    <comment ref="B5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РУЧНОЙ ВВОД — жёлтая ячейка</t>
        </r>
      </text>
    </comment>
    <comment ref="B6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РУЧНОЙ ВВОД — жёлтая ячейка</t>
        </r>
      </text>
    </comment>
    <comment ref="B10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РУЧНОЙ ВВОД — жёлтая ячейка</t>
        </r>
      </text>
    </comment>
    <comment ref="B1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РУЧНОЙ ВВОД — жёлтая ячейка</t>
        </r>
      </text>
    </comment>
    <comment ref="B1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РУЧНОЙ ВВОД — жёлтая ячейка</t>
        </r>
      </text>
    </comment>
    <comment ref="B13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РУЧНОЙ ВВОД — жёлтая ячейка</t>
        </r>
      </text>
    </comment>
    <comment ref="B1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РУЧНОЙ ВВОД — жёлтая ячейка</t>
        </r>
      </text>
    </comment>
    <comment ref="B1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РУЧНОЙ ВВОД — жёлтая ячейка</t>
        </r>
      </text>
    </comment>
    <comment ref="B16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РУЧНОЙ ВВОД — жёлтая ячейка</t>
        </r>
      </text>
    </comment>
    <comment ref="B17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РУЧНОЙ ВВОД — жёлтая ячейка</t>
        </r>
      </text>
    </comment>
    <comment ref="B18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РУЧНОЙ ВВОД — жёлтая ячейка</t>
        </r>
      </text>
    </comment>
    <comment ref="B19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РУЧНОЙ ВВОД — жёлтая ячейка</t>
        </r>
      </text>
    </comment>
    <comment ref="B20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РУЧНОЙ ВВОД — жёлтая ячейка</t>
        </r>
      </text>
    </comment>
    <comment ref="B21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РУЧНОЙ ВВОД — жёлтая ячейка</t>
        </r>
      </text>
    </comment>
  </commentList>
</comments>
</file>

<file path=xl/sharedStrings.xml><?xml version="1.0" encoding="utf-8"?>
<sst xmlns="http://schemas.openxmlformats.org/spreadsheetml/2006/main" count="204" uniqueCount="175">
  <si>
    <t>КУКЛОВОД — Excel 1.0 | Инструкция</t>
  </si>
  <si>
    <t>Назначение</t>
  </si>
  <si>
    <t>Калькулятор предназначен для управления размером позиции и риском. Он не оценивает качество торговой идеи и не является сигналом на покупку/продажу.</t>
  </si>
  <si>
    <t>Цветовая легенда</t>
  </si>
  <si>
    <t>Жёлтый — ручной ввод</t>
  </si>
  <si>
    <t>Зелёный — расчёт</t>
  </si>
  <si>
    <t>Голубой — итог/контроль</t>
  </si>
  <si>
    <t>Красно-бежевый — предупреждение</t>
  </si>
  <si>
    <t>Ключевая логика</t>
  </si>
  <si>
    <t>1. Сначала задаётся допустимый денежный риск.</t>
  </si>
  <si>
    <t>2. Затем определяется цена входа и первоначальный уровень отмены сценария.</t>
  </si>
  <si>
    <t>3. Из расстояния Entry → Initial SL рассчитывается 1R на единицу.</t>
  </si>
  <si>
    <t>4. Размер позиции определяется допустимым риском и ограничивается лимитом концентрации.</t>
  </si>
  <si>
    <t>5. При достижении +0,75R активируется перенос стопа в BE.</t>
  </si>
  <si>
    <t>6. R всегда остаётся привязанным к первоначальному риску сделки.</t>
  </si>
  <si>
    <t>7. BE учитывает round-trip комиссию и буфер в 1 тик.</t>
  </si>
  <si>
    <t>Важно:</t>
  </si>
  <si>
    <t>0,75R → BE — рабочая гипотеза управления позицией. Её эффективность должна проверяться статистикой журнала.</t>
  </si>
  <si>
    <t>КУКЛОВОД — Калькулятор позиции и R-модель</t>
  </si>
  <si>
    <t>A. КАПИТАЛ И ЛИМИТЫ</t>
  </si>
  <si>
    <t>Капитал счёта, ₽</t>
  </si>
  <si>
    <t>Риск на сделку, %</t>
  </si>
  <si>
    <t>Максимальная доля позиции, %</t>
  </si>
  <si>
    <t>Максимальный размер позиции, ₽</t>
  </si>
  <si>
    <t>B. ПАРАМЕТРЫ СДЕЛКИ</t>
  </si>
  <si>
    <t>Тикер</t>
  </si>
  <si>
    <t>PLZL</t>
  </si>
  <si>
    <t>Инструмент</t>
  </si>
  <si>
    <t>Полюс</t>
  </si>
  <si>
    <t>Направление</t>
  </si>
  <si>
    <t>LONG</t>
  </si>
  <si>
    <t>Цена входа, ₽</t>
  </si>
  <si>
    <t>Первоначальный Stop Loss, ₽</t>
  </si>
  <si>
    <t>Проверка SL</t>
  </si>
  <si>
    <t>ATR, ₽</t>
  </si>
  <si>
    <t>Коэффициент ATR</t>
  </si>
  <si>
    <t>Комиссия входа, %</t>
  </si>
  <si>
    <t>Комиссия выхода, %</t>
  </si>
  <si>
    <t>Размер тика, ₽</t>
  </si>
  <si>
    <t>BE buffer, тиков</t>
  </si>
  <si>
    <t>BE trigger, R</t>
  </si>
  <si>
    <t>C. РАСЧЁТ РИСКА И ПОЗИЦИИ</t>
  </si>
  <si>
    <t>Допустимый риск, ₽</t>
  </si>
  <si>
    <t>1R на единицу, ₽</t>
  </si>
  <si>
    <t>Риск на единицу, %</t>
  </si>
  <si>
    <t>Размер по фиксированному риску, шт.</t>
  </si>
  <si>
    <t>Размер по Risk-модели, целые шт.</t>
  </si>
  <si>
    <t>Стоимость Risk-позиции, ₽</t>
  </si>
  <si>
    <t>Фактический риск Risk-позиции, ₽</t>
  </si>
  <si>
    <t>Фактический риск, %</t>
  </si>
  <si>
    <t>Макс. размер по лимиту, шт.</t>
  </si>
  <si>
    <t>Макс. размер по лимиту, целые шт.</t>
  </si>
  <si>
    <t>Фактический размер позиции, шт.</t>
  </si>
  <si>
    <t>Фактическая стоимость, ₽</t>
  </si>
  <si>
    <t>Фактическая доля капитала, %</t>
  </si>
  <si>
    <t>Фактический первоначальный риск, ₽</t>
  </si>
  <si>
    <t>Фактический первоначальный риск, %</t>
  </si>
  <si>
    <t>D. ATR-МОДЕЛЬ</t>
  </si>
  <si>
    <t>ATR-расстояние, ₽</t>
  </si>
  <si>
    <t>ATR Stop, ₽</t>
  </si>
  <si>
    <t>Риск на единицу по ATR, ₽</t>
  </si>
  <si>
    <t>Размер по ATR, шт.</t>
  </si>
  <si>
    <t>Стоимость по ATR, ₽</t>
  </si>
  <si>
    <t>Фактический риск по ATR, ₽</t>
  </si>
  <si>
    <t>E. R-УРОВНИ И BE</t>
  </si>
  <si>
    <t>−1R цена</t>
  </si>
  <si>
    <t>−0,5R цена</t>
  </si>
  <si>
    <t>+0,75R trigger price</t>
  </si>
  <si>
    <t>+1R цена</t>
  </si>
  <si>
    <t>+2R цена</t>
  </si>
  <si>
    <t>Round-trip комиссия, %</t>
  </si>
  <si>
    <t>Комиссия round-trip, ₽/ед.</t>
  </si>
  <si>
    <t>BE buffer, ₽</t>
  </si>
  <si>
    <t>BE Stop</t>
  </si>
  <si>
    <t>BE результат на единицу, ₽</t>
  </si>
  <si>
    <t>BE результат в R</t>
  </si>
  <si>
    <t>F. R-ТАБЛИЦА ПО ФАКТИЧЕСКОЙ ПОЗИЦИИ</t>
  </si>
  <si>
    <t>Уровень</t>
  </si>
  <si>
    <t>R</t>
  </si>
  <si>
    <t>P/L на 1 ед., ₽</t>
  </si>
  <si>
    <t>P/L позиции, ₽</t>
  </si>
  <si>
    <t>−1R</t>
  </si>
  <si>
    <t>−0,5R</t>
  </si>
  <si>
    <t>BE trigger</t>
  </si>
  <si>
    <t>+1R</t>
  </si>
  <si>
    <t>+2R</t>
  </si>
  <si>
    <t>КУКЛОВОД — Портфель</t>
  </si>
  <si>
    <t>A. СВОДКА</t>
  </si>
  <si>
    <t>Капитал, ₽</t>
  </si>
  <si>
    <t>Инвестировано, ₽</t>
  </si>
  <si>
    <t>Свободные средства, ₽</t>
  </si>
  <si>
    <t>Открытый риск, ₽</t>
  </si>
  <si>
    <t>Открытый риск, %</t>
  </si>
  <si>
    <t>Класс</t>
  </si>
  <si>
    <t>Сектор</t>
  </si>
  <si>
    <t>Кол-во</t>
  </si>
  <si>
    <t>Цена</t>
  </si>
  <si>
    <t>Стоимость</t>
  </si>
  <si>
    <t>Доля</t>
  </si>
  <si>
    <t>Initial SL</t>
  </si>
  <si>
    <t>1R/ед.</t>
  </si>
  <si>
    <t>Риск/ед.</t>
  </si>
  <si>
    <t>Риск позиции</t>
  </si>
  <si>
    <t>Риск %</t>
  </si>
  <si>
    <t>BE Trigger R</t>
  </si>
  <si>
    <t>Статус</t>
  </si>
  <si>
    <t>КУКЛОВОД — Контроль риска</t>
  </si>
  <si>
    <t>Сводка</t>
  </si>
  <si>
    <t>Секторная концентрация</t>
  </si>
  <si>
    <t>Доля капитала</t>
  </si>
  <si>
    <t>Открытый риск</t>
  </si>
  <si>
    <t>Финансы</t>
  </si>
  <si>
    <t>Нефть и газ</t>
  </si>
  <si>
    <t>Металлы</t>
  </si>
  <si>
    <t>Телеком</t>
  </si>
  <si>
    <t>IT</t>
  </si>
  <si>
    <t>Энергетика</t>
  </si>
  <si>
    <t>Прочее</t>
  </si>
  <si>
    <t>КУКЛОВОД — Стресс-сценарии</t>
  </si>
  <si>
    <t>Портфельные сценарии</t>
  </si>
  <si>
    <t>Сценарий</t>
  </si>
  <si>
    <t>Изменение</t>
  </si>
  <si>
    <t>P/L, ₽</t>
  </si>
  <si>
    <t>Капитал после, ₽</t>
  </si>
  <si>
    <t>Доходность для восстановления</t>
  </si>
  <si>
    <t>Комментарий</t>
  </si>
  <si>
    <t>Рынок −5%</t>
  </si>
  <si>
    <t>Стресс-сценарий</t>
  </si>
  <si>
    <t>Рынок −10%</t>
  </si>
  <si>
    <t>Рынок −20%</t>
  </si>
  <si>
    <t>Рынок −30%</t>
  </si>
  <si>
    <t>Все стопы</t>
  </si>
  <si>
    <t>Стоп по всему открытому риску</t>
  </si>
  <si>
    <t>Сценарии не являются прогнозами. Они показывают чувствительность текущего портфеля к заданному шоку.</t>
  </si>
  <si>
    <t>КУКЛОВОД — Журнал сделок и статистика R</t>
  </si>
  <si>
    <t>Журнал</t>
  </si>
  <si>
    <t>Дата</t>
  </si>
  <si>
    <t>Setup Type</t>
  </si>
  <si>
    <t>Entry</t>
  </si>
  <si>
    <t>Размер</t>
  </si>
  <si>
    <t>Risk ₽</t>
  </si>
  <si>
    <t>BE Trigger Price</t>
  </si>
  <si>
    <t>MFE R</t>
  </si>
  <si>
    <t>MAE R</t>
  </si>
  <si>
    <t>Exit</t>
  </si>
  <si>
    <t>Final R</t>
  </si>
  <si>
    <t>Причина выхода</t>
  </si>
  <si>
    <t>R-СТАТИСТИКА</t>
  </si>
  <si>
    <t>Количество сделок</t>
  </si>
  <si>
    <t>Средний Final R</t>
  </si>
  <si>
    <t>Медианный Final R</t>
  </si>
  <si>
    <t>Лучший Final R</t>
  </si>
  <si>
    <t>Худший Final R</t>
  </si>
  <si>
    <t>Количество −1R или хуже</t>
  </si>
  <si>
    <t>Количество −0,5R или хуже</t>
  </si>
  <si>
    <t>Количество +0,75R и выше</t>
  </si>
  <si>
    <t>Количество +1R и выше</t>
  </si>
  <si>
    <t>Количество +2R и выше</t>
  </si>
  <si>
    <t>КУКЛОВОД — Справочники</t>
  </si>
  <si>
    <t>SHORT</t>
  </si>
  <si>
    <t>Классы активов</t>
  </si>
  <si>
    <t>Акция</t>
  </si>
  <si>
    <t>ОФЗ</t>
  </si>
  <si>
    <t>Корпоративная облигация</t>
  </si>
  <si>
    <t>Фонд денежного рынка</t>
  </si>
  <si>
    <t>Золото</t>
  </si>
  <si>
    <t>Сектора</t>
  </si>
  <si>
    <t>Причины выхода</t>
  </si>
  <si>
    <t>Stop Loss</t>
  </si>
  <si>
    <t>BE</t>
  </si>
  <si>
    <t>Цель</t>
  </si>
  <si>
    <t>Изменение структуры</t>
  </si>
  <si>
    <t>Изменение рынка</t>
  </si>
  <si>
    <t>Ошибка</t>
  </si>
  <si>
    <t>Другое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</si>
</sst>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&quot; ₽&quot;"/>
    <numFmt numFmtId="165" formatCode="0.0000%"/>
    <numFmt numFmtId="166" formatCode="#,##0.0000"/>
    <numFmt numFmtId="167" formatCode="#,##0.0000&quot; ₽&quot;"/>
    <numFmt numFmtId="168" formatCode="0.000\R"/>
    <numFmt numFmtId="169" formatCode="0.00\R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charset val="204"/>
    </font>
    <font>
      <b/>
      <sz val="12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color rgb="FFC00000"/>
      <name val="Calibri"/>
      <family val="2"/>
      <charset val="204"/>
    </font>
    <font>
      <b/>
      <sz val="11"/>
      <color rgb="FF1F1F1F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4B18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0" xfId="0" applyFont="1"/>
    <xf numFmtId="0" fontId="5" fillId="0" borderId="1" xfId="0" applyFont="1" applyBorder="1"/>
    <xf numFmtId="164" fontId="0" fillId="4" borderId="1" xfId="0" applyNumberFormat="1" applyFill="1" applyBorder="1"/>
    <xf numFmtId="10" fontId="0" fillId="4" borderId="1" xfId="0" applyNumberFormat="1" applyFill="1" applyBorder="1"/>
    <xf numFmtId="164" fontId="0" fillId="6" borderId="1" xfId="0" applyNumberFormat="1" applyFill="1" applyBorder="1"/>
    <xf numFmtId="4" fontId="0" fillId="4" borderId="1" xfId="0" applyNumberFormat="1" applyFill="1" applyBorder="1"/>
    <xf numFmtId="2" fontId="0" fillId="4" borderId="1" xfId="0" applyNumberFormat="1" applyFill="1" applyBorder="1"/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/>
    <xf numFmtId="10" fontId="0" fillId="5" borderId="1" xfId="0" applyNumberFormat="1" applyFill="1" applyBorder="1"/>
    <xf numFmtId="2" fontId="0" fillId="5" borderId="1" xfId="0" applyNumberFormat="1" applyFill="1" applyBorder="1"/>
    <xf numFmtId="1" fontId="0" fillId="5" borderId="1" xfId="0" applyNumberFormat="1" applyFill="1" applyBorder="1"/>
    <xf numFmtId="4" fontId="0" fillId="6" borderId="1" xfId="0" applyNumberFormat="1" applyFill="1" applyBorder="1"/>
    <xf numFmtId="165" fontId="0" fillId="6" borderId="1" xfId="0" applyNumberFormat="1" applyFill="1" applyBorder="1"/>
    <xf numFmtId="167" fontId="0" fillId="6" borderId="1" xfId="0" applyNumberFormat="1" applyFill="1" applyBorder="1"/>
    <xf numFmtId="168" fontId="0" fillId="6" borderId="1" xfId="0" applyNumberFormat="1" applyFill="1" applyBorder="1"/>
    <xf numFmtId="0" fontId="3" fillId="2" borderId="1" xfId="0" applyFont="1" applyFill="1" applyBorder="1"/>
    <xf numFmtId="0" fontId="0" fillId="8" borderId="1" xfId="0" applyFill="1" applyBorder="1"/>
    <xf numFmtId="164" fontId="0" fillId="8" borderId="1" xfId="0" applyNumberFormat="1" applyFill="1" applyBorder="1"/>
    <xf numFmtId="10" fontId="0" fillId="6" borderId="1" xfId="0" applyNumberFormat="1" applyFill="1" applyBorder="1"/>
    <xf numFmtId="0" fontId="0" fillId="0" borderId="1" xfId="0" applyBorder="1"/>
    <xf numFmtId="169" fontId="0" fillId="4" borderId="1" xfId="0" applyNumberFormat="1" applyFill="1" applyBorder="1"/>
    <xf numFmtId="169" fontId="0" fillId="5" borderId="1" xfId="0" applyNumberFormat="1" applyFill="1" applyBorder="1"/>
    <xf numFmtId="0" fontId="0" fillId="7" borderId="0" xfId="0" applyFill="1" applyAlignment="1">
      <alignment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 applyAlignment="1">
      <alignment vertical="top" wrapText="1"/>
    </xf>
    <xf numFmtId="0" fontId="3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showGridLines="0" tabSelected="1" workbookViewId="0">
      <selection activeCell="A14" sqref="A14:H14"/>
    </sheetView>
  </sheetViews>
  <sheetFormatPr defaultRowHeight="15" x14ac:dyDescent="0.25"/>
  <sheetData>
    <row r="1" spans="1:8" ht="27.95" customHeight="1" x14ac:dyDescent="0.25">
      <c r="A1" s="32" t="s">
        <v>0</v>
      </c>
      <c r="B1" s="31"/>
      <c r="C1" s="31"/>
      <c r="D1" s="31"/>
      <c r="E1" s="31"/>
      <c r="F1" s="31"/>
      <c r="G1" s="31"/>
      <c r="H1" s="31"/>
    </row>
    <row r="3" spans="1:8" ht="15.75" x14ac:dyDescent="0.25">
      <c r="A3" s="1" t="s">
        <v>1</v>
      </c>
    </row>
    <row r="4" spans="1:8" x14ac:dyDescent="0.25">
      <c r="A4" s="34" t="s">
        <v>2</v>
      </c>
      <c r="B4" s="31"/>
      <c r="C4" s="31"/>
      <c r="D4" s="31"/>
      <c r="E4" s="31"/>
      <c r="F4" s="31"/>
      <c r="G4" s="31"/>
      <c r="H4" s="31"/>
    </row>
    <row r="5" spans="1:8" x14ac:dyDescent="0.25">
      <c r="A5" s="31"/>
      <c r="B5" s="31"/>
      <c r="C5" s="31"/>
      <c r="D5" s="31"/>
      <c r="E5" s="31"/>
      <c r="F5" s="31"/>
      <c r="G5" s="31"/>
      <c r="H5" s="31"/>
    </row>
    <row r="7" spans="1:8" x14ac:dyDescent="0.25">
      <c r="A7" s="35" t="s">
        <v>3</v>
      </c>
      <c r="B7" s="31"/>
      <c r="C7" s="31"/>
      <c r="D7" s="31"/>
      <c r="E7" s="31"/>
      <c r="F7" s="31"/>
      <c r="G7" s="31"/>
      <c r="H7" s="31"/>
    </row>
    <row r="8" spans="1:8" x14ac:dyDescent="0.25">
      <c r="A8" s="2" t="s">
        <v>4</v>
      </c>
    </row>
    <row r="9" spans="1:8" x14ac:dyDescent="0.25">
      <c r="A9" s="3" t="s">
        <v>5</v>
      </c>
    </row>
    <row r="10" spans="1:8" x14ac:dyDescent="0.25">
      <c r="A10" s="4" t="s">
        <v>6</v>
      </c>
    </row>
    <row r="11" spans="1:8" x14ac:dyDescent="0.25">
      <c r="A11" s="5" t="s">
        <v>7</v>
      </c>
    </row>
    <row r="13" spans="1:8" x14ac:dyDescent="0.25">
      <c r="A13" s="35" t="s">
        <v>8</v>
      </c>
      <c r="B13" s="31"/>
      <c r="C13" s="31"/>
      <c r="D13" s="31"/>
      <c r="E13" s="31"/>
      <c r="F13" s="31"/>
      <c r="G13" s="31"/>
      <c r="H13" s="31"/>
    </row>
    <row r="14" spans="1:8" x14ac:dyDescent="0.25">
      <c r="A14" s="33" t="s">
        <v>9</v>
      </c>
      <c r="B14" s="31"/>
      <c r="C14" s="31"/>
      <c r="D14" s="31"/>
      <c r="E14" s="31"/>
      <c r="F14" s="31"/>
      <c r="G14" s="31"/>
      <c r="H14" s="31"/>
    </row>
    <row r="15" spans="1:8" x14ac:dyDescent="0.25">
      <c r="A15" s="33" t="s">
        <v>10</v>
      </c>
      <c r="B15" s="31"/>
      <c r="C15" s="31"/>
      <c r="D15" s="31"/>
      <c r="E15" s="31"/>
      <c r="F15" s="31"/>
      <c r="G15" s="31"/>
      <c r="H15" s="31"/>
    </row>
    <row r="16" spans="1:8" x14ac:dyDescent="0.25">
      <c r="A16" s="33" t="s">
        <v>11</v>
      </c>
      <c r="B16" s="31"/>
      <c r="C16" s="31"/>
      <c r="D16" s="31"/>
      <c r="E16" s="31"/>
      <c r="F16" s="31"/>
      <c r="G16" s="31"/>
      <c r="H16" s="31"/>
    </row>
    <row r="17" spans="1:8" x14ac:dyDescent="0.25">
      <c r="A17" s="33" t="s">
        <v>12</v>
      </c>
      <c r="B17" s="31"/>
      <c r="C17" s="31"/>
      <c r="D17" s="31"/>
      <c r="E17" s="31"/>
      <c r="F17" s="31"/>
      <c r="G17" s="31"/>
      <c r="H17" s="31"/>
    </row>
    <row r="18" spans="1:8" x14ac:dyDescent="0.25">
      <c r="A18" s="33" t="s">
        <v>13</v>
      </c>
      <c r="B18" s="31"/>
      <c r="C18" s="31"/>
      <c r="D18" s="31"/>
      <c r="E18" s="31"/>
      <c r="F18" s="31"/>
      <c r="G18" s="31"/>
      <c r="H18" s="31"/>
    </row>
    <row r="19" spans="1:8" x14ac:dyDescent="0.25">
      <c r="A19" s="33" t="s">
        <v>14</v>
      </c>
      <c r="B19" s="31"/>
      <c r="C19" s="31"/>
      <c r="D19" s="31"/>
      <c r="E19" s="31"/>
      <c r="F19" s="31"/>
      <c r="G19" s="31"/>
      <c r="H19" s="31"/>
    </row>
    <row r="20" spans="1:8" x14ac:dyDescent="0.25">
      <c r="A20" s="33" t="s">
        <v>15</v>
      </c>
      <c r="B20" s="31"/>
      <c r="C20" s="31"/>
      <c r="D20" s="31"/>
      <c r="E20" s="31"/>
      <c r="F20" s="31"/>
      <c r="G20" s="31"/>
      <c r="H20" s="31"/>
    </row>
    <row r="23" spans="1:8" x14ac:dyDescent="0.25">
      <c r="A23" s="6" t="s">
        <v>16</v>
      </c>
    </row>
    <row r="24" spans="1:8" x14ac:dyDescent="0.25">
      <c r="A24" s="30" t="s">
        <v>17</v>
      </c>
      <c r="B24" s="31"/>
      <c r="C24" s="31"/>
      <c r="D24" s="31"/>
      <c r="E24" s="31"/>
      <c r="F24" s="31"/>
      <c r="G24" s="31"/>
      <c r="H24" s="31"/>
    </row>
    <row r="25" spans="1:8" x14ac:dyDescent="0.25">
      <c r="A25" s="31"/>
      <c r="B25" s="31"/>
      <c r="C25" s="31"/>
      <c r="D25" s="31"/>
      <c r="E25" s="31"/>
      <c r="F25" s="31"/>
      <c r="G25" s="31"/>
      <c r="H25" s="31"/>
    </row>
  </sheetData>
  <mergeCells count="12">
    <mergeCell ref="A24:H25"/>
    <mergeCell ref="A1:H1"/>
    <mergeCell ref="A17:H17"/>
    <mergeCell ref="A18:H18"/>
    <mergeCell ref="A4:H5"/>
    <mergeCell ref="A15:H15"/>
    <mergeCell ref="A7:H7"/>
    <mergeCell ref="A20:H20"/>
    <mergeCell ref="A16:H16"/>
    <mergeCell ref="A13:H13"/>
    <mergeCell ref="A14:H14"/>
    <mergeCell ref="A19:H19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7"/>
  <sheetViews>
    <sheetView showGridLines="0" workbookViewId="0">
      <pane ySplit="3" topLeftCell="A25" activePane="bottomLeft" state="frozen"/>
      <selection pane="bottomLeft" activeCell="B17" sqref="B17"/>
    </sheetView>
  </sheetViews>
  <sheetFormatPr defaultRowHeight="15" x14ac:dyDescent="0.25"/>
  <cols>
    <col min="1" max="1" width="43" customWidth="1"/>
    <col min="2" max="2" width="19" customWidth="1"/>
    <col min="3" max="3" width="18" customWidth="1"/>
    <col min="4" max="4" width="20" customWidth="1"/>
  </cols>
  <sheetData>
    <row r="1" spans="1:8" ht="27.95" customHeight="1" x14ac:dyDescent="0.25">
      <c r="A1" s="32" t="s">
        <v>18</v>
      </c>
      <c r="B1" s="31"/>
      <c r="C1" s="31"/>
      <c r="D1" s="31"/>
      <c r="E1" s="31"/>
      <c r="F1" s="31"/>
      <c r="G1" s="31"/>
      <c r="H1" s="31"/>
    </row>
    <row r="3" spans="1:8" x14ac:dyDescent="0.25">
      <c r="A3" s="35" t="s">
        <v>19</v>
      </c>
      <c r="B3" s="31"/>
      <c r="C3" s="31"/>
      <c r="D3" s="31"/>
    </row>
    <row r="4" spans="1:8" x14ac:dyDescent="0.25">
      <c r="A4" s="7" t="s">
        <v>20</v>
      </c>
      <c r="B4" s="8">
        <v>1000000</v>
      </c>
    </row>
    <row r="5" spans="1:8" x14ac:dyDescent="0.25">
      <c r="A5" s="7" t="s">
        <v>21</v>
      </c>
      <c r="B5" s="9">
        <v>5.0000000000000001E-3</v>
      </c>
    </row>
    <row r="6" spans="1:8" x14ac:dyDescent="0.25">
      <c r="A6" s="7" t="s">
        <v>22</v>
      </c>
      <c r="B6" s="9">
        <v>0.1</v>
      </c>
    </row>
    <row r="7" spans="1:8" x14ac:dyDescent="0.25">
      <c r="A7" s="7" t="s">
        <v>23</v>
      </c>
      <c r="B7" s="10">
        <f>B4*B6</f>
        <v>100000</v>
      </c>
    </row>
    <row r="9" spans="1:8" x14ac:dyDescent="0.25">
      <c r="A9" s="35" t="s">
        <v>24</v>
      </c>
      <c r="B9" s="31"/>
      <c r="C9" s="31"/>
      <c r="D9" s="31"/>
    </row>
    <row r="10" spans="1:8" x14ac:dyDescent="0.25">
      <c r="A10" s="7" t="s">
        <v>25</v>
      </c>
      <c r="B10" s="2" t="s">
        <v>26</v>
      </c>
    </row>
    <row r="11" spans="1:8" x14ac:dyDescent="0.25">
      <c r="A11" s="7" t="s">
        <v>27</v>
      </c>
      <c r="B11" s="2" t="s">
        <v>28</v>
      </c>
    </row>
    <row r="12" spans="1:8" x14ac:dyDescent="0.25">
      <c r="A12" s="7" t="s">
        <v>29</v>
      </c>
      <c r="B12" s="2" t="s">
        <v>30</v>
      </c>
    </row>
    <row r="13" spans="1:8" x14ac:dyDescent="0.25">
      <c r="A13" s="7" t="s">
        <v>31</v>
      </c>
      <c r="B13" s="11">
        <v>1000</v>
      </c>
    </row>
    <row r="14" spans="1:8" x14ac:dyDescent="0.25">
      <c r="A14" s="7" t="s">
        <v>32</v>
      </c>
      <c r="B14" s="11">
        <v>920</v>
      </c>
      <c r="D14" s="7" t="s">
        <v>33</v>
      </c>
    </row>
    <row r="15" spans="1:8" x14ac:dyDescent="0.25">
      <c r="A15" s="7" t="s">
        <v>34</v>
      </c>
      <c r="B15" s="11">
        <v>40</v>
      </c>
      <c r="D15" s="5" t="str">
        <f>IF(OR(AND(B12="LONG",B14&gt;=B13),AND(B12="SHORT",B14&lt;=B13)),"ОШИБКА: SL","OK")</f>
        <v>OK</v>
      </c>
    </row>
    <row r="16" spans="1:8" x14ac:dyDescent="0.25">
      <c r="A16" s="7" t="s">
        <v>35</v>
      </c>
      <c r="B16" s="12">
        <v>2</v>
      </c>
    </row>
    <row r="17" spans="1:4" x14ac:dyDescent="0.25">
      <c r="A17" s="7" t="s">
        <v>36</v>
      </c>
      <c r="B17" s="13">
        <v>5.0000000000000001E-4</v>
      </c>
    </row>
    <row r="18" spans="1:4" x14ac:dyDescent="0.25">
      <c r="A18" s="7" t="s">
        <v>37</v>
      </c>
      <c r="B18" s="13">
        <v>5.0000000000000001E-4</v>
      </c>
    </row>
    <row r="19" spans="1:4" x14ac:dyDescent="0.25">
      <c r="A19" s="7" t="s">
        <v>38</v>
      </c>
      <c r="B19" s="14">
        <v>0.01</v>
      </c>
    </row>
    <row r="20" spans="1:4" x14ac:dyDescent="0.25">
      <c r="A20" s="7" t="s">
        <v>39</v>
      </c>
      <c r="B20" s="12">
        <v>1</v>
      </c>
    </row>
    <row r="21" spans="1:4" x14ac:dyDescent="0.25">
      <c r="A21" s="7" t="s">
        <v>40</v>
      </c>
      <c r="B21" s="12">
        <v>0.75</v>
      </c>
    </row>
    <row r="23" spans="1:4" x14ac:dyDescent="0.25">
      <c r="A23" s="35" t="s">
        <v>41</v>
      </c>
      <c r="B23" s="31"/>
      <c r="C23" s="31"/>
      <c r="D23" s="31"/>
    </row>
    <row r="24" spans="1:4" x14ac:dyDescent="0.25">
      <c r="A24" s="7" t="s">
        <v>42</v>
      </c>
      <c r="B24" s="15">
        <f>B4*B5</f>
        <v>5000</v>
      </c>
    </row>
    <row r="25" spans="1:4" x14ac:dyDescent="0.25">
      <c r="A25" s="7" t="s">
        <v>43</v>
      </c>
      <c r="B25" s="15">
        <f>IF(B12="LONG",B13-B14,B14-B13)</f>
        <v>80</v>
      </c>
    </row>
    <row r="26" spans="1:4" x14ac:dyDescent="0.25">
      <c r="A26" s="7" t="s">
        <v>44</v>
      </c>
      <c r="B26" s="16">
        <f>IFERROR(B25/B13,0)</f>
        <v>0.08</v>
      </c>
    </row>
    <row r="27" spans="1:4" x14ac:dyDescent="0.25">
      <c r="A27" s="7" t="s">
        <v>45</v>
      </c>
      <c r="B27" s="17">
        <f>IFERROR(B24/B25,0)</f>
        <v>62.5</v>
      </c>
    </row>
    <row r="28" spans="1:4" x14ac:dyDescent="0.25">
      <c r="A28" s="7" t="s">
        <v>46</v>
      </c>
      <c r="B28" s="18">
        <f>MAX(0,ROUNDDOWN(B27,0))</f>
        <v>62</v>
      </c>
    </row>
    <row r="29" spans="1:4" x14ac:dyDescent="0.25">
      <c r="A29" s="7" t="s">
        <v>47</v>
      </c>
      <c r="B29" s="15">
        <f>B28*B13</f>
        <v>62000</v>
      </c>
    </row>
    <row r="30" spans="1:4" x14ac:dyDescent="0.25">
      <c r="A30" s="7" t="s">
        <v>48</v>
      </c>
      <c r="B30" s="15">
        <f>B28*B25</f>
        <v>4960</v>
      </c>
    </row>
    <row r="31" spans="1:4" x14ac:dyDescent="0.25">
      <c r="A31" s="7" t="s">
        <v>49</v>
      </c>
      <c r="B31" s="16">
        <f>IFERROR(B30/B4,0)</f>
        <v>4.96E-3</v>
      </c>
    </row>
    <row r="32" spans="1:4" x14ac:dyDescent="0.25">
      <c r="A32" s="7" t="s">
        <v>50</v>
      </c>
      <c r="B32" s="17">
        <f>IFERROR(B7/B13,0)</f>
        <v>100</v>
      </c>
    </row>
    <row r="33" spans="1:4" x14ac:dyDescent="0.25">
      <c r="A33" s="7" t="s">
        <v>51</v>
      </c>
      <c r="B33" s="18">
        <f>MAX(0,ROUNDDOWN(B32,0))</f>
        <v>100</v>
      </c>
    </row>
    <row r="34" spans="1:4" x14ac:dyDescent="0.25">
      <c r="A34" s="7" t="s">
        <v>52</v>
      </c>
      <c r="B34" s="18">
        <f>MIN(B28,B33)</f>
        <v>62</v>
      </c>
    </row>
    <row r="35" spans="1:4" x14ac:dyDescent="0.25">
      <c r="A35" s="7" t="s">
        <v>53</v>
      </c>
      <c r="B35" s="15">
        <f>B34*B13</f>
        <v>62000</v>
      </c>
    </row>
    <row r="36" spans="1:4" x14ac:dyDescent="0.25">
      <c r="A36" s="7" t="s">
        <v>54</v>
      </c>
      <c r="B36" s="16">
        <f>IFERROR(B35/B4,0)</f>
        <v>6.2E-2</v>
      </c>
    </row>
    <row r="37" spans="1:4" x14ac:dyDescent="0.25">
      <c r="A37" s="7" t="s">
        <v>55</v>
      </c>
      <c r="B37" s="15">
        <f>B34*B25</f>
        <v>4960</v>
      </c>
    </row>
    <row r="38" spans="1:4" x14ac:dyDescent="0.25">
      <c r="A38" s="7" t="s">
        <v>56</v>
      </c>
      <c r="B38" s="16">
        <f>IFERROR(B37/B4,0)</f>
        <v>4.96E-3</v>
      </c>
    </row>
    <row r="40" spans="1:4" x14ac:dyDescent="0.25">
      <c r="A40" s="35" t="s">
        <v>57</v>
      </c>
      <c r="B40" s="31"/>
      <c r="C40" s="31"/>
      <c r="D40" s="31"/>
    </row>
    <row r="41" spans="1:4" x14ac:dyDescent="0.25">
      <c r="A41" s="7" t="s">
        <v>58</v>
      </c>
      <c r="B41" s="15">
        <f>B15*B16</f>
        <v>80</v>
      </c>
    </row>
    <row r="42" spans="1:4" x14ac:dyDescent="0.25">
      <c r="A42" s="7" t="s">
        <v>59</v>
      </c>
      <c r="B42" s="15">
        <f>IF(B12="LONG",B13-B41,B13+B41)</f>
        <v>920</v>
      </c>
    </row>
    <row r="43" spans="1:4" x14ac:dyDescent="0.25">
      <c r="A43" s="7" t="s">
        <v>60</v>
      </c>
      <c r="B43" s="15">
        <f>ABS(B13-B42)</f>
        <v>80</v>
      </c>
    </row>
    <row r="44" spans="1:4" x14ac:dyDescent="0.25">
      <c r="A44" s="7" t="s">
        <v>61</v>
      </c>
      <c r="B44" s="18">
        <f>IFERROR(ROUNDDOWN(B24/B43,0),0)</f>
        <v>62</v>
      </c>
    </row>
    <row r="45" spans="1:4" x14ac:dyDescent="0.25">
      <c r="A45" s="7" t="s">
        <v>62</v>
      </c>
      <c r="B45" s="15">
        <f>B44*B13</f>
        <v>62000</v>
      </c>
    </row>
    <row r="46" spans="1:4" x14ac:dyDescent="0.25">
      <c r="A46" s="7" t="s">
        <v>63</v>
      </c>
      <c r="B46" s="15">
        <f>B44*B43</f>
        <v>4960</v>
      </c>
    </row>
    <row r="48" spans="1:4" x14ac:dyDescent="0.25">
      <c r="A48" s="35" t="s">
        <v>64</v>
      </c>
      <c r="B48" s="31"/>
      <c r="C48" s="31"/>
      <c r="D48" s="31"/>
    </row>
    <row r="49" spans="1:4" x14ac:dyDescent="0.25">
      <c r="A49" s="7" t="s">
        <v>65</v>
      </c>
      <c r="B49" s="19">
        <f>IF(B12="LONG",B13-B25,B13+B25)</f>
        <v>920</v>
      </c>
    </row>
    <row r="50" spans="1:4" x14ac:dyDescent="0.25">
      <c r="A50" s="7" t="s">
        <v>66</v>
      </c>
      <c r="B50" s="19">
        <f>IF(B12="LONG",B13-B25*0.5,B13+B25*0.5)</f>
        <v>960</v>
      </c>
    </row>
    <row r="51" spans="1:4" x14ac:dyDescent="0.25">
      <c r="A51" s="7" t="s">
        <v>67</v>
      </c>
      <c r="B51" s="19">
        <f>IF(B12="LONG",B13+B25*B21,B13-B25*B21)</f>
        <v>1060</v>
      </c>
    </row>
    <row r="52" spans="1:4" x14ac:dyDescent="0.25">
      <c r="A52" s="7" t="s">
        <v>68</v>
      </c>
      <c r="B52" s="19">
        <f>IF(B12="LONG",B13+B25,B13-B25)</f>
        <v>1080</v>
      </c>
    </row>
    <row r="53" spans="1:4" x14ac:dyDescent="0.25">
      <c r="A53" s="7" t="s">
        <v>69</v>
      </c>
      <c r="B53" s="19">
        <f>IF(B12="LONG",B13+B25*2,B13-B25*2)</f>
        <v>1160</v>
      </c>
    </row>
    <row r="54" spans="1:4" x14ac:dyDescent="0.25">
      <c r="A54" s="7" t="s">
        <v>70</v>
      </c>
      <c r="B54" s="20">
        <f>B17+B18</f>
        <v>1E-3</v>
      </c>
    </row>
    <row r="55" spans="1:4" x14ac:dyDescent="0.25">
      <c r="A55" s="7" t="s">
        <v>71</v>
      </c>
      <c r="B55" s="21">
        <f>B13*B54</f>
        <v>1</v>
      </c>
    </row>
    <row r="56" spans="1:4" x14ac:dyDescent="0.25">
      <c r="A56" s="7" t="s">
        <v>72</v>
      </c>
      <c r="B56" s="21">
        <f>B19*B20</f>
        <v>0.01</v>
      </c>
    </row>
    <row r="57" spans="1:4" x14ac:dyDescent="0.25">
      <c r="A57" s="7" t="s">
        <v>73</v>
      </c>
      <c r="B57" s="19">
        <f>IF(B12="LONG",B13+B55+B56,B13-B55-B56)</f>
        <v>1001.01</v>
      </c>
    </row>
    <row r="58" spans="1:4" x14ac:dyDescent="0.25">
      <c r="A58" s="7" t="s">
        <v>74</v>
      </c>
      <c r="B58" s="21">
        <f>IF(B12="LONG",B57-B13,B13-B57)</f>
        <v>1.0099999999999909</v>
      </c>
    </row>
    <row r="59" spans="1:4" x14ac:dyDescent="0.25">
      <c r="A59" s="7" t="s">
        <v>75</v>
      </c>
      <c r="B59" s="22">
        <f>IFERROR(B58/B25,0)</f>
        <v>1.2624999999999886E-2</v>
      </c>
    </row>
    <row r="61" spans="1:4" x14ac:dyDescent="0.25">
      <c r="A61" s="35" t="s">
        <v>76</v>
      </c>
      <c r="B61" s="31"/>
      <c r="C61" s="31"/>
      <c r="D61" s="31"/>
    </row>
    <row r="62" spans="1:4" x14ac:dyDescent="0.25">
      <c r="A62" s="23" t="s">
        <v>77</v>
      </c>
      <c r="B62" s="23" t="s">
        <v>78</v>
      </c>
      <c r="C62" s="23" t="s">
        <v>79</v>
      </c>
      <c r="D62" s="23" t="s">
        <v>80</v>
      </c>
    </row>
    <row r="63" spans="1:4" x14ac:dyDescent="0.25">
      <c r="A63" s="4" t="s">
        <v>81</v>
      </c>
      <c r="B63" s="4">
        <v>-1</v>
      </c>
      <c r="C63" s="10">
        <f>B25*B63</f>
        <v>-80</v>
      </c>
      <c r="D63" s="10">
        <f>B34*C63</f>
        <v>-4960</v>
      </c>
    </row>
    <row r="64" spans="1:4" x14ac:dyDescent="0.25">
      <c r="A64" s="4" t="s">
        <v>82</v>
      </c>
      <c r="B64" s="4">
        <v>-0.5</v>
      </c>
      <c r="C64" s="10">
        <f>B25*B64</f>
        <v>-40</v>
      </c>
      <c r="D64" s="10">
        <f>B34*C64</f>
        <v>-2480</v>
      </c>
    </row>
    <row r="65" spans="1:4" x14ac:dyDescent="0.25">
      <c r="A65" s="24" t="s">
        <v>83</v>
      </c>
      <c r="B65" s="24">
        <v>0.75</v>
      </c>
      <c r="C65" s="25">
        <f>B25*B65</f>
        <v>60</v>
      </c>
      <c r="D65" s="25">
        <f>B34*C65</f>
        <v>3720</v>
      </c>
    </row>
    <row r="66" spans="1:4" x14ac:dyDescent="0.25">
      <c r="A66" s="4" t="s">
        <v>84</v>
      </c>
      <c r="B66" s="4">
        <v>1</v>
      </c>
      <c r="C66" s="10">
        <f>B25*B66</f>
        <v>80</v>
      </c>
      <c r="D66" s="10">
        <f>B34*C66</f>
        <v>4960</v>
      </c>
    </row>
    <row r="67" spans="1:4" x14ac:dyDescent="0.25">
      <c r="A67" s="4" t="s">
        <v>85</v>
      </c>
      <c r="B67" s="4">
        <v>2</v>
      </c>
      <c r="C67" s="10">
        <f>B25*B67</f>
        <v>160</v>
      </c>
      <c r="D67" s="10">
        <f>B34*C67</f>
        <v>9920</v>
      </c>
    </row>
  </sheetData>
  <mergeCells count="7">
    <mergeCell ref="A61:D61"/>
    <mergeCell ref="A48:D48"/>
    <mergeCell ref="A3:D3"/>
    <mergeCell ref="A1:H1"/>
    <mergeCell ref="A40:D40"/>
    <mergeCell ref="A23:D23"/>
    <mergeCell ref="A9:D9"/>
  </mergeCells>
  <dataValidations count="1">
    <dataValidation type="list" sqref="B12" xr:uid="{00000000-0002-0000-0100-000000000000}">
      <formula1>"LONG,SHORT"</formula1>
    </dataValidation>
  </dataValidations>
  <pageMargins left="0.75" right="0.75" top="1" bottom="1" header="0.5" footer="0.5"/>
  <pageSetup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30"/>
  <sheetViews>
    <sheetView showGridLines="0" workbookViewId="0">
      <pane ySplit="10" topLeftCell="A11" activePane="bottomLeft" state="frozen"/>
      <selection pane="bottomLeft" sqref="A1:O1"/>
    </sheetView>
  </sheetViews>
  <sheetFormatPr defaultRowHeight="15" x14ac:dyDescent="0.25"/>
  <cols>
    <col min="1" max="1" width="22.85546875" bestFit="1" customWidth="1"/>
    <col min="2" max="2" width="20" customWidth="1"/>
    <col min="3" max="4" width="18" customWidth="1"/>
    <col min="5" max="5" width="12" customWidth="1"/>
    <col min="6" max="6" width="14" customWidth="1"/>
    <col min="7" max="7" width="16" customWidth="1"/>
    <col min="8" max="8" width="12" customWidth="1"/>
    <col min="9" max="9" width="14" customWidth="1"/>
    <col min="10" max="10" width="12" customWidth="1"/>
    <col min="11" max="11" width="14" customWidth="1"/>
    <col min="12" max="12" width="16" customWidth="1"/>
    <col min="13" max="13" width="12" customWidth="1"/>
    <col min="14" max="14" width="14" customWidth="1"/>
    <col min="15" max="15" width="18" customWidth="1"/>
  </cols>
  <sheetData>
    <row r="1" spans="1:15" ht="27.95" customHeight="1" x14ac:dyDescent="0.25">
      <c r="A1" s="32" t="s">
        <v>86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3" spans="1:15" x14ac:dyDescent="0.25">
      <c r="A3" s="35" t="s">
        <v>87</v>
      </c>
      <c r="B3" s="31"/>
      <c r="C3" s="31"/>
      <c r="D3" s="31"/>
      <c r="E3" s="31"/>
      <c r="F3" s="31"/>
    </row>
    <row r="4" spans="1:15" x14ac:dyDescent="0.25">
      <c r="A4" s="7" t="s">
        <v>88</v>
      </c>
      <c r="B4" s="10">
        <f>'01_КАЛЬКУЛЯТОР'!B4</f>
        <v>1000000</v>
      </c>
    </row>
    <row r="5" spans="1:15" x14ac:dyDescent="0.25">
      <c r="A5" s="7" t="s">
        <v>89</v>
      </c>
      <c r="B5" s="10">
        <f>SUM(G11:G30)</f>
        <v>0</v>
      </c>
    </row>
    <row r="6" spans="1:15" x14ac:dyDescent="0.25">
      <c r="A6" s="7" t="s">
        <v>90</v>
      </c>
      <c r="B6" s="10">
        <f>B4-B5</f>
        <v>1000000</v>
      </c>
    </row>
    <row r="7" spans="1:15" x14ac:dyDescent="0.25">
      <c r="A7" s="7" t="s">
        <v>91</v>
      </c>
      <c r="B7" s="10">
        <f>SUM(L11:L30)</f>
        <v>0</v>
      </c>
    </row>
    <row r="8" spans="1:15" x14ac:dyDescent="0.25">
      <c r="A8" s="7" t="s">
        <v>92</v>
      </c>
      <c r="B8" s="26">
        <f>IFERROR(B7/B4,0)</f>
        <v>0</v>
      </c>
    </row>
    <row r="10" spans="1:15" x14ac:dyDescent="0.25">
      <c r="A10" s="23" t="s">
        <v>25</v>
      </c>
      <c r="B10" s="23" t="s">
        <v>27</v>
      </c>
      <c r="C10" s="23" t="s">
        <v>93</v>
      </c>
      <c r="D10" s="23" t="s">
        <v>94</v>
      </c>
      <c r="E10" s="23" t="s">
        <v>95</v>
      </c>
      <c r="F10" s="23" t="s">
        <v>96</v>
      </c>
      <c r="G10" s="23" t="s">
        <v>97</v>
      </c>
      <c r="H10" s="23" t="s">
        <v>98</v>
      </c>
      <c r="I10" s="23" t="s">
        <v>99</v>
      </c>
      <c r="J10" s="23" t="s">
        <v>100</v>
      </c>
      <c r="K10" s="23" t="s">
        <v>101</v>
      </c>
      <c r="L10" s="23" t="s">
        <v>102</v>
      </c>
      <c r="M10" s="23" t="s">
        <v>103</v>
      </c>
      <c r="N10" s="23" t="s">
        <v>104</v>
      </c>
      <c r="O10" s="23" t="s">
        <v>105</v>
      </c>
    </row>
    <row r="11" spans="1:15" x14ac:dyDescent="0.25">
      <c r="A11" s="2"/>
      <c r="B11" s="2"/>
      <c r="C11" s="2"/>
      <c r="D11" s="2"/>
      <c r="E11" s="2"/>
      <c r="F11" s="2"/>
      <c r="G11" s="15">
        <f t="shared" ref="G11:G30" si="0">IFERROR(E11*F11,0)</f>
        <v>0</v>
      </c>
      <c r="H11" s="16">
        <f t="shared" ref="H11:H30" si="1">IFERROR(G11/$B$4,0)</f>
        <v>0</v>
      </c>
      <c r="I11" s="2"/>
      <c r="J11" s="3">
        <f t="shared" ref="J11:J30" si="2">IFERROR(ABS(F11-I11),0)</f>
        <v>0</v>
      </c>
      <c r="K11" s="15">
        <f t="shared" ref="K11:K30" si="3">J11</f>
        <v>0</v>
      </c>
      <c r="L11" s="15">
        <f t="shared" ref="L11:L30" si="4">IFERROR(E11*K11,0)</f>
        <v>0</v>
      </c>
      <c r="M11" s="16">
        <f t="shared" ref="M11:M30" si="5">IFERROR(L11/$B$4,0)</f>
        <v>0</v>
      </c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15">
        <f t="shared" si="0"/>
        <v>0</v>
      </c>
      <c r="H12" s="16">
        <f t="shared" si="1"/>
        <v>0</v>
      </c>
      <c r="I12" s="2"/>
      <c r="J12" s="3">
        <f t="shared" si="2"/>
        <v>0</v>
      </c>
      <c r="K12" s="15">
        <f t="shared" si="3"/>
        <v>0</v>
      </c>
      <c r="L12" s="15">
        <f t="shared" si="4"/>
        <v>0</v>
      </c>
      <c r="M12" s="16">
        <f t="shared" si="5"/>
        <v>0</v>
      </c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15">
        <f t="shared" si="0"/>
        <v>0</v>
      </c>
      <c r="H13" s="16">
        <f t="shared" si="1"/>
        <v>0</v>
      </c>
      <c r="I13" s="2"/>
      <c r="J13" s="3">
        <f t="shared" si="2"/>
        <v>0</v>
      </c>
      <c r="K13" s="15">
        <f t="shared" si="3"/>
        <v>0</v>
      </c>
      <c r="L13" s="15">
        <f t="shared" si="4"/>
        <v>0</v>
      </c>
      <c r="M13" s="16">
        <f t="shared" si="5"/>
        <v>0</v>
      </c>
      <c r="N13" s="2"/>
      <c r="O13" s="2"/>
    </row>
    <row r="14" spans="1:15" x14ac:dyDescent="0.25">
      <c r="A14" s="2"/>
      <c r="B14" s="2"/>
      <c r="C14" s="2"/>
      <c r="D14" s="2"/>
      <c r="E14" s="2"/>
      <c r="F14" s="2"/>
      <c r="G14" s="15">
        <f t="shared" si="0"/>
        <v>0</v>
      </c>
      <c r="H14" s="16">
        <f t="shared" si="1"/>
        <v>0</v>
      </c>
      <c r="I14" s="2"/>
      <c r="J14" s="3">
        <f t="shared" si="2"/>
        <v>0</v>
      </c>
      <c r="K14" s="15">
        <f t="shared" si="3"/>
        <v>0</v>
      </c>
      <c r="L14" s="15">
        <f t="shared" si="4"/>
        <v>0</v>
      </c>
      <c r="M14" s="16">
        <f t="shared" si="5"/>
        <v>0</v>
      </c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15">
        <f t="shared" si="0"/>
        <v>0</v>
      </c>
      <c r="H15" s="16">
        <f t="shared" si="1"/>
        <v>0</v>
      </c>
      <c r="I15" s="2"/>
      <c r="J15" s="3">
        <f t="shared" si="2"/>
        <v>0</v>
      </c>
      <c r="K15" s="15">
        <f t="shared" si="3"/>
        <v>0</v>
      </c>
      <c r="L15" s="15">
        <f t="shared" si="4"/>
        <v>0</v>
      </c>
      <c r="M15" s="16">
        <f t="shared" si="5"/>
        <v>0</v>
      </c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15">
        <f t="shared" si="0"/>
        <v>0</v>
      </c>
      <c r="H16" s="16">
        <f t="shared" si="1"/>
        <v>0</v>
      </c>
      <c r="I16" s="2"/>
      <c r="J16" s="3">
        <f t="shared" si="2"/>
        <v>0</v>
      </c>
      <c r="K16" s="15">
        <f t="shared" si="3"/>
        <v>0</v>
      </c>
      <c r="L16" s="15">
        <f t="shared" si="4"/>
        <v>0</v>
      </c>
      <c r="M16" s="16">
        <f t="shared" si="5"/>
        <v>0</v>
      </c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15">
        <f t="shared" si="0"/>
        <v>0</v>
      </c>
      <c r="H17" s="16">
        <f t="shared" si="1"/>
        <v>0</v>
      </c>
      <c r="I17" s="2"/>
      <c r="J17" s="3">
        <f t="shared" si="2"/>
        <v>0</v>
      </c>
      <c r="K17" s="15">
        <f t="shared" si="3"/>
        <v>0</v>
      </c>
      <c r="L17" s="15">
        <f t="shared" si="4"/>
        <v>0</v>
      </c>
      <c r="M17" s="16">
        <f t="shared" si="5"/>
        <v>0</v>
      </c>
      <c r="N17" s="2"/>
      <c r="O17" s="2"/>
    </row>
    <row r="18" spans="1:15" x14ac:dyDescent="0.25">
      <c r="A18" s="2"/>
      <c r="B18" s="2"/>
      <c r="C18" s="2"/>
      <c r="D18" s="2"/>
      <c r="E18" s="2"/>
      <c r="F18" s="2"/>
      <c r="G18" s="15">
        <f t="shared" si="0"/>
        <v>0</v>
      </c>
      <c r="H18" s="16">
        <f t="shared" si="1"/>
        <v>0</v>
      </c>
      <c r="I18" s="2"/>
      <c r="J18" s="3">
        <f t="shared" si="2"/>
        <v>0</v>
      </c>
      <c r="K18" s="15">
        <f t="shared" si="3"/>
        <v>0</v>
      </c>
      <c r="L18" s="15">
        <f t="shared" si="4"/>
        <v>0</v>
      </c>
      <c r="M18" s="16">
        <f t="shared" si="5"/>
        <v>0</v>
      </c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15">
        <f t="shared" si="0"/>
        <v>0</v>
      </c>
      <c r="H19" s="16">
        <f t="shared" si="1"/>
        <v>0</v>
      </c>
      <c r="I19" s="2"/>
      <c r="J19" s="3">
        <f t="shared" si="2"/>
        <v>0</v>
      </c>
      <c r="K19" s="15">
        <f t="shared" si="3"/>
        <v>0</v>
      </c>
      <c r="L19" s="15">
        <f t="shared" si="4"/>
        <v>0</v>
      </c>
      <c r="M19" s="16">
        <f t="shared" si="5"/>
        <v>0</v>
      </c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15">
        <f t="shared" si="0"/>
        <v>0</v>
      </c>
      <c r="H20" s="16">
        <f t="shared" si="1"/>
        <v>0</v>
      </c>
      <c r="I20" s="2"/>
      <c r="J20" s="3">
        <f t="shared" si="2"/>
        <v>0</v>
      </c>
      <c r="K20" s="15">
        <f t="shared" si="3"/>
        <v>0</v>
      </c>
      <c r="L20" s="15">
        <f t="shared" si="4"/>
        <v>0</v>
      </c>
      <c r="M20" s="16">
        <f t="shared" si="5"/>
        <v>0</v>
      </c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15">
        <f t="shared" si="0"/>
        <v>0</v>
      </c>
      <c r="H21" s="16">
        <f t="shared" si="1"/>
        <v>0</v>
      </c>
      <c r="I21" s="2"/>
      <c r="J21" s="3">
        <f t="shared" si="2"/>
        <v>0</v>
      </c>
      <c r="K21" s="15">
        <f t="shared" si="3"/>
        <v>0</v>
      </c>
      <c r="L21" s="15">
        <f t="shared" si="4"/>
        <v>0</v>
      </c>
      <c r="M21" s="16">
        <f t="shared" si="5"/>
        <v>0</v>
      </c>
      <c r="N21" s="2"/>
      <c r="O21" s="2"/>
    </row>
    <row r="22" spans="1:15" x14ac:dyDescent="0.25">
      <c r="A22" s="2"/>
      <c r="B22" s="2"/>
      <c r="C22" s="2"/>
      <c r="D22" s="2"/>
      <c r="E22" s="2"/>
      <c r="F22" s="2"/>
      <c r="G22" s="15">
        <f t="shared" si="0"/>
        <v>0</v>
      </c>
      <c r="H22" s="16">
        <f t="shared" si="1"/>
        <v>0</v>
      </c>
      <c r="I22" s="2"/>
      <c r="J22" s="3">
        <f t="shared" si="2"/>
        <v>0</v>
      </c>
      <c r="K22" s="15">
        <f t="shared" si="3"/>
        <v>0</v>
      </c>
      <c r="L22" s="15">
        <f t="shared" si="4"/>
        <v>0</v>
      </c>
      <c r="M22" s="16">
        <f t="shared" si="5"/>
        <v>0</v>
      </c>
      <c r="N22" s="2"/>
      <c r="O22" s="2"/>
    </row>
    <row r="23" spans="1:15" x14ac:dyDescent="0.25">
      <c r="A23" s="2"/>
      <c r="B23" s="2"/>
      <c r="C23" s="2"/>
      <c r="D23" s="2"/>
      <c r="E23" s="2"/>
      <c r="F23" s="2"/>
      <c r="G23" s="15">
        <f t="shared" si="0"/>
        <v>0</v>
      </c>
      <c r="H23" s="16">
        <f t="shared" si="1"/>
        <v>0</v>
      </c>
      <c r="I23" s="2"/>
      <c r="J23" s="3">
        <f t="shared" si="2"/>
        <v>0</v>
      </c>
      <c r="K23" s="15">
        <f t="shared" si="3"/>
        <v>0</v>
      </c>
      <c r="L23" s="15">
        <f t="shared" si="4"/>
        <v>0</v>
      </c>
      <c r="M23" s="16">
        <f t="shared" si="5"/>
        <v>0</v>
      </c>
      <c r="N23" s="2"/>
      <c r="O23" s="2"/>
    </row>
    <row r="24" spans="1:15" x14ac:dyDescent="0.25">
      <c r="A24" s="2"/>
      <c r="B24" s="2"/>
      <c r="C24" s="2"/>
      <c r="D24" s="2"/>
      <c r="E24" s="2"/>
      <c r="F24" s="2"/>
      <c r="G24" s="15">
        <f t="shared" si="0"/>
        <v>0</v>
      </c>
      <c r="H24" s="16">
        <f t="shared" si="1"/>
        <v>0</v>
      </c>
      <c r="I24" s="2"/>
      <c r="J24" s="3">
        <f t="shared" si="2"/>
        <v>0</v>
      </c>
      <c r="K24" s="15">
        <f t="shared" si="3"/>
        <v>0</v>
      </c>
      <c r="L24" s="15">
        <f t="shared" si="4"/>
        <v>0</v>
      </c>
      <c r="M24" s="16">
        <f t="shared" si="5"/>
        <v>0</v>
      </c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15">
        <f t="shared" si="0"/>
        <v>0</v>
      </c>
      <c r="H25" s="16">
        <f t="shared" si="1"/>
        <v>0</v>
      </c>
      <c r="I25" s="2"/>
      <c r="J25" s="3">
        <f t="shared" si="2"/>
        <v>0</v>
      </c>
      <c r="K25" s="15">
        <f t="shared" si="3"/>
        <v>0</v>
      </c>
      <c r="L25" s="15">
        <f t="shared" si="4"/>
        <v>0</v>
      </c>
      <c r="M25" s="16">
        <f t="shared" si="5"/>
        <v>0</v>
      </c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15">
        <f t="shared" si="0"/>
        <v>0</v>
      </c>
      <c r="H26" s="16">
        <f t="shared" si="1"/>
        <v>0</v>
      </c>
      <c r="I26" s="2"/>
      <c r="J26" s="3">
        <f t="shared" si="2"/>
        <v>0</v>
      </c>
      <c r="K26" s="15">
        <f t="shared" si="3"/>
        <v>0</v>
      </c>
      <c r="L26" s="15">
        <f t="shared" si="4"/>
        <v>0</v>
      </c>
      <c r="M26" s="16">
        <f t="shared" si="5"/>
        <v>0</v>
      </c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15">
        <f t="shared" si="0"/>
        <v>0</v>
      </c>
      <c r="H27" s="16">
        <f t="shared" si="1"/>
        <v>0</v>
      </c>
      <c r="I27" s="2"/>
      <c r="J27" s="3">
        <f t="shared" si="2"/>
        <v>0</v>
      </c>
      <c r="K27" s="15">
        <f t="shared" si="3"/>
        <v>0</v>
      </c>
      <c r="L27" s="15">
        <f t="shared" si="4"/>
        <v>0</v>
      </c>
      <c r="M27" s="16">
        <f t="shared" si="5"/>
        <v>0</v>
      </c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15">
        <f t="shared" si="0"/>
        <v>0</v>
      </c>
      <c r="H28" s="16">
        <f t="shared" si="1"/>
        <v>0</v>
      </c>
      <c r="I28" s="2"/>
      <c r="J28" s="3">
        <f t="shared" si="2"/>
        <v>0</v>
      </c>
      <c r="K28" s="15">
        <f t="shared" si="3"/>
        <v>0</v>
      </c>
      <c r="L28" s="15">
        <f t="shared" si="4"/>
        <v>0</v>
      </c>
      <c r="M28" s="16">
        <f t="shared" si="5"/>
        <v>0</v>
      </c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15">
        <f t="shared" si="0"/>
        <v>0</v>
      </c>
      <c r="H29" s="16">
        <f t="shared" si="1"/>
        <v>0</v>
      </c>
      <c r="I29" s="2"/>
      <c r="J29" s="3">
        <f t="shared" si="2"/>
        <v>0</v>
      </c>
      <c r="K29" s="15">
        <f t="shared" si="3"/>
        <v>0</v>
      </c>
      <c r="L29" s="15">
        <f t="shared" si="4"/>
        <v>0</v>
      </c>
      <c r="M29" s="16">
        <f t="shared" si="5"/>
        <v>0</v>
      </c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15">
        <f t="shared" si="0"/>
        <v>0</v>
      </c>
      <c r="H30" s="16">
        <f t="shared" si="1"/>
        <v>0</v>
      </c>
      <c r="I30" s="2"/>
      <c r="J30" s="3">
        <f t="shared" si="2"/>
        <v>0</v>
      </c>
      <c r="K30" s="15">
        <f t="shared" si="3"/>
        <v>0</v>
      </c>
      <c r="L30" s="15">
        <f t="shared" si="4"/>
        <v>0</v>
      </c>
      <c r="M30" s="16">
        <f t="shared" si="5"/>
        <v>0</v>
      </c>
      <c r="N30" s="2"/>
      <c r="O30" s="2"/>
    </row>
  </sheetData>
  <mergeCells count="2">
    <mergeCell ref="A3:F3"/>
    <mergeCell ref="A1:O1"/>
  </mergeCells>
  <dataValidations count="1">
    <dataValidation type="list" allowBlank="1" sqref="O11:O30" xr:uid="{00000000-0002-0000-0200-000000000000}">
      <formula1>"Открыта,Закрыта,BE активирован,Отменена"</formula1>
    </dataValidation>
  </dataValidation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0"/>
  <sheetViews>
    <sheetView showGridLines="0" workbookViewId="0">
      <selection activeCell="C10" sqref="C10"/>
    </sheetView>
  </sheetViews>
  <sheetFormatPr defaultRowHeight="15" x14ac:dyDescent="0.25"/>
  <cols>
    <col min="1" max="1" width="22.85546875" bestFit="1" customWidth="1"/>
    <col min="2" max="4" width="18" customWidth="1"/>
    <col min="5" max="5" width="15" customWidth="1"/>
  </cols>
  <sheetData>
    <row r="1" spans="1:8" ht="27.95" customHeight="1" x14ac:dyDescent="0.25">
      <c r="A1" s="32" t="s">
        <v>106</v>
      </c>
      <c r="B1" s="31"/>
      <c r="C1" s="31"/>
      <c r="D1" s="31"/>
      <c r="E1" s="31"/>
      <c r="F1" s="31"/>
      <c r="G1" s="31"/>
      <c r="H1" s="31"/>
    </row>
    <row r="3" spans="1:8" x14ac:dyDescent="0.25">
      <c r="A3" s="35" t="s">
        <v>107</v>
      </c>
      <c r="B3" s="31"/>
      <c r="C3" s="31"/>
      <c r="D3" s="31"/>
      <c r="E3" s="31"/>
    </row>
    <row r="4" spans="1:8" x14ac:dyDescent="0.25">
      <c r="A4" s="7" t="s">
        <v>88</v>
      </c>
      <c r="B4" s="10">
        <f>'02_ПОРТФЕЛЬ'!B4</f>
        <v>1000000</v>
      </c>
    </row>
    <row r="5" spans="1:8" x14ac:dyDescent="0.25">
      <c r="A5" s="7" t="s">
        <v>89</v>
      </c>
      <c r="B5" s="10">
        <f>'02_ПОРТФЕЛЬ'!B5</f>
        <v>0</v>
      </c>
    </row>
    <row r="6" spans="1:8" x14ac:dyDescent="0.25">
      <c r="A6" s="7" t="s">
        <v>90</v>
      </c>
      <c r="B6" s="10">
        <f>'02_ПОРТФЕЛЬ'!B6</f>
        <v>1000000</v>
      </c>
    </row>
    <row r="7" spans="1:8" x14ac:dyDescent="0.25">
      <c r="A7" s="7" t="s">
        <v>91</v>
      </c>
      <c r="B7" s="10">
        <f>'02_ПОРТФЕЛЬ'!B7</f>
        <v>0</v>
      </c>
    </row>
    <row r="8" spans="1:8" x14ac:dyDescent="0.25">
      <c r="A8" s="7" t="s">
        <v>92</v>
      </c>
      <c r="B8" s="26">
        <f>'02_ПОРТФЕЛЬ'!B8</f>
        <v>0</v>
      </c>
    </row>
    <row r="12" spans="1:8" x14ac:dyDescent="0.25">
      <c r="A12" s="35" t="s">
        <v>108</v>
      </c>
      <c r="B12" s="31"/>
      <c r="C12" s="31"/>
      <c r="D12" s="31"/>
      <c r="E12" s="31"/>
      <c r="F12" s="31"/>
      <c r="G12" s="31"/>
      <c r="H12" s="31"/>
    </row>
    <row r="13" spans="1:8" x14ac:dyDescent="0.25">
      <c r="A13" s="23" t="s">
        <v>94</v>
      </c>
      <c r="B13" s="23" t="s">
        <v>97</v>
      </c>
      <c r="C13" s="23" t="s">
        <v>109</v>
      </c>
      <c r="D13" s="23" t="s">
        <v>110</v>
      </c>
      <c r="E13" s="23" t="s">
        <v>103</v>
      </c>
    </row>
    <row r="14" spans="1:8" x14ac:dyDescent="0.25">
      <c r="A14" s="27" t="s">
        <v>111</v>
      </c>
      <c r="B14" s="15">
        <f>SUMIF('02_ПОРТФЕЛЬ'!$D$11:$D$30,A14,'02_ПОРТФЕЛЬ'!$G$11:$G$30)</f>
        <v>0</v>
      </c>
      <c r="C14" s="16">
        <f t="shared" ref="C14:C20" si="0">IFERROR(B14/$B$4,0)</f>
        <v>0</v>
      </c>
      <c r="D14" s="15">
        <f>SUMIF('02_ПОРТФЕЛЬ'!$D$11:$D$30,A14,'02_ПОРТФЕЛЬ'!$L$11:$L$30)</f>
        <v>0</v>
      </c>
      <c r="E14" s="16">
        <f t="shared" ref="E14:E20" si="1">IFERROR(D14/$B$4,0)</f>
        <v>0</v>
      </c>
    </row>
    <row r="15" spans="1:8" x14ac:dyDescent="0.25">
      <c r="A15" s="27" t="s">
        <v>112</v>
      </c>
      <c r="B15" s="15">
        <f>SUMIF('02_ПОРТФЕЛЬ'!$D$11:$D$30,A15,'02_ПОРТФЕЛЬ'!$G$11:$G$30)</f>
        <v>0</v>
      </c>
      <c r="C15" s="16">
        <f t="shared" si="0"/>
        <v>0</v>
      </c>
      <c r="D15" s="15">
        <f>SUMIF('02_ПОРТФЕЛЬ'!$D$11:$D$30,A15,'02_ПОРТФЕЛЬ'!$L$11:$L$30)</f>
        <v>0</v>
      </c>
      <c r="E15" s="16">
        <f t="shared" si="1"/>
        <v>0</v>
      </c>
    </row>
    <row r="16" spans="1:8" x14ac:dyDescent="0.25">
      <c r="A16" s="27" t="s">
        <v>113</v>
      </c>
      <c r="B16" s="15">
        <f>SUMIF('02_ПОРТФЕЛЬ'!$D$11:$D$30,A16,'02_ПОРТФЕЛЬ'!$G$11:$G$30)</f>
        <v>0</v>
      </c>
      <c r="C16" s="16">
        <f t="shared" si="0"/>
        <v>0</v>
      </c>
      <c r="D16" s="15">
        <f>SUMIF('02_ПОРТФЕЛЬ'!$D$11:$D$30,A16,'02_ПОРТФЕЛЬ'!$L$11:$L$30)</f>
        <v>0</v>
      </c>
      <c r="E16" s="16">
        <f t="shared" si="1"/>
        <v>0</v>
      </c>
    </row>
    <row r="17" spans="1:5" x14ac:dyDescent="0.25">
      <c r="A17" s="27" t="s">
        <v>114</v>
      </c>
      <c r="B17" s="15">
        <f>SUMIF('02_ПОРТФЕЛЬ'!$D$11:$D$30,A17,'02_ПОРТФЕЛЬ'!$G$11:$G$30)</f>
        <v>0</v>
      </c>
      <c r="C17" s="16">
        <f t="shared" si="0"/>
        <v>0</v>
      </c>
      <c r="D17" s="15">
        <f>SUMIF('02_ПОРТФЕЛЬ'!$D$11:$D$30,A17,'02_ПОРТФЕЛЬ'!$L$11:$L$30)</f>
        <v>0</v>
      </c>
      <c r="E17" s="16">
        <f t="shared" si="1"/>
        <v>0</v>
      </c>
    </row>
    <row r="18" spans="1:5" x14ac:dyDescent="0.25">
      <c r="A18" s="27" t="s">
        <v>115</v>
      </c>
      <c r="B18" s="15">
        <f>SUMIF('02_ПОРТФЕЛЬ'!$D$11:$D$30,A18,'02_ПОРТФЕЛЬ'!$G$11:$G$30)</f>
        <v>0</v>
      </c>
      <c r="C18" s="16">
        <f t="shared" si="0"/>
        <v>0</v>
      </c>
      <c r="D18" s="15">
        <f>SUMIF('02_ПОРТФЕЛЬ'!$D$11:$D$30,A18,'02_ПОРТФЕЛЬ'!$L$11:$L$30)</f>
        <v>0</v>
      </c>
      <c r="E18" s="16">
        <f t="shared" si="1"/>
        <v>0</v>
      </c>
    </row>
    <row r="19" spans="1:5" x14ac:dyDescent="0.25">
      <c r="A19" s="27" t="s">
        <v>116</v>
      </c>
      <c r="B19" s="15">
        <f>SUMIF('02_ПОРТФЕЛЬ'!$D$11:$D$30,A19,'02_ПОРТФЕЛЬ'!$G$11:$G$30)</f>
        <v>0</v>
      </c>
      <c r="C19" s="16">
        <f t="shared" si="0"/>
        <v>0</v>
      </c>
      <c r="D19" s="15">
        <f>SUMIF('02_ПОРТФЕЛЬ'!$D$11:$D$30,A19,'02_ПОРТФЕЛЬ'!$L$11:$L$30)</f>
        <v>0</v>
      </c>
      <c r="E19" s="16">
        <f t="shared" si="1"/>
        <v>0</v>
      </c>
    </row>
    <row r="20" spans="1:5" x14ac:dyDescent="0.25">
      <c r="A20" s="27" t="s">
        <v>117</v>
      </c>
      <c r="B20" s="15">
        <f>SUMIF('02_ПОРТФЕЛЬ'!$D$11:$D$30,A20,'02_ПОРТФЕЛЬ'!$G$11:$G$30)</f>
        <v>0</v>
      </c>
      <c r="C20" s="16">
        <f t="shared" si="0"/>
        <v>0</v>
      </c>
      <c r="D20" s="15">
        <f>SUMIF('02_ПОРТФЕЛЬ'!$D$11:$D$30,A20,'02_ПОРТФЕЛЬ'!$L$11:$L$30)</f>
        <v>0</v>
      </c>
      <c r="E20" s="16">
        <f t="shared" si="1"/>
        <v>0</v>
      </c>
    </row>
  </sheetData>
  <mergeCells count="3">
    <mergeCell ref="A12:H12"/>
    <mergeCell ref="A3:E3"/>
    <mergeCell ref="A1:H1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3"/>
  <sheetViews>
    <sheetView showGridLines="0" workbookViewId="0">
      <selection activeCell="A12" sqref="A12:F13"/>
    </sheetView>
  </sheetViews>
  <sheetFormatPr defaultRowHeight="15" x14ac:dyDescent="0.25"/>
  <cols>
    <col min="1" max="1" width="18" customWidth="1"/>
    <col min="2" max="2" width="15" customWidth="1"/>
    <col min="3" max="3" width="20" customWidth="1"/>
    <col min="4" max="4" width="25" customWidth="1"/>
    <col min="5" max="5" width="32" customWidth="1"/>
    <col min="6" max="6" width="30.5703125" bestFit="1" customWidth="1"/>
  </cols>
  <sheetData>
    <row r="1" spans="1:8" ht="27.95" customHeight="1" x14ac:dyDescent="0.25">
      <c r="A1" s="32" t="s">
        <v>118</v>
      </c>
      <c r="B1" s="31"/>
      <c r="C1" s="31"/>
      <c r="D1" s="31"/>
      <c r="E1" s="31"/>
      <c r="F1" s="31"/>
      <c r="G1" s="31"/>
      <c r="H1" s="31"/>
    </row>
    <row r="3" spans="1:8" x14ac:dyDescent="0.25">
      <c r="A3" s="35" t="s">
        <v>119</v>
      </c>
      <c r="B3" s="31"/>
      <c r="C3" s="31"/>
      <c r="D3" s="31"/>
      <c r="E3" s="31"/>
      <c r="F3" s="31"/>
    </row>
    <row r="4" spans="1:8" x14ac:dyDescent="0.25">
      <c r="A4" s="23" t="s">
        <v>120</v>
      </c>
      <c r="B4" s="23" t="s">
        <v>121</v>
      </c>
      <c r="C4" s="23" t="s">
        <v>122</v>
      </c>
      <c r="D4" s="23" t="s">
        <v>123</v>
      </c>
      <c r="E4" s="23" t="s">
        <v>124</v>
      </c>
      <c r="F4" s="23" t="s">
        <v>125</v>
      </c>
    </row>
    <row r="5" spans="1:8" x14ac:dyDescent="0.25">
      <c r="A5" s="27" t="s">
        <v>126</v>
      </c>
      <c r="B5" s="9">
        <v>-0.05</v>
      </c>
      <c r="C5" s="15">
        <f>'02_ПОРТФЕЛЬ'!B5*B5</f>
        <v>0</v>
      </c>
      <c r="D5" s="15">
        <f>'02_ПОРТФЕЛЬ'!B4+C5</f>
        <v>1000000</v>
      </c>
      <c r="E5" s="16">
        <f>IFERROR(-C5/D5,0)</f>
        <v>0</v>
      </c>
      <c r="F5" s="27" t="s">
        <v>127</v>
      </c>
    </row>
    <row r="6" spans="1:8" x14ac:dyDescent="0.25">
      <c r="A6" s="27" t="s">
        <v>128</v>
      </c>
      <c r="B6" s="9">
        <v>-0.1</v>
      </c>
      <c r="C6" s="15">
        <f>'02_ПОРТФЕЛЬ'!B5*B6</f>
        <v>0</v>
      </c>
      <c r="D6" s="15">
        <f>'02_ПОРТФЕЛЬ'!B4+C6</f>
        <v>1000000</v>
      </c>
      <c r="E6" s="16">
        <f>IFERROR(-C6/D6,0)</f>
        <v>0</v>
      </c>
      <c r="F6" s="27" t="s">
        <v>127</v>
      </c>
    </row>
    <row r="7" spans="1:8" x14ac:dyDescent="0.25">
      <c r="A7" s="27" t="s">
        <v>129</v>
      </c>
      <c r="B7" s="9">
        <v>-0.2</v>
      </c>
      <c r="C7" s="15">
        <f>'02_ПОРТФЕЛЬ'!B5*B7</f>
        <v>0</v>
      </c>
      <c r="D7" s="15">
        <f>'02_ПОРТФЕЛЬ'!B4+C7</f>
        <v>1000000</v>
      </c>
      <c r="E7" s="16">
        <f>IFERROR(-C7/D7,0)</f>
        <v>0</v>
      </c>
      <c r="F7" s="27" t="s">
        <v>127</v>
      </c>
    </row>
    <row r="8" spans="1:8" x14ac:dyDescent="0.25">
      <c r="A8" s="27" t="s">
        <v>130</v>
      </c>
      <c r="B8" s="9">
        <v>-0.3</v>
      </c>
      <c r="C8" s="15">
        <f>'02_ПОРТФЕЛЬ'!B5*B8</f>
        <v>0</v>
      </c>
      <c r="D8" s="15">
        <f>'02_ПОРТФЕЛЬ'!B4+C8</f>
        <v>1000000</v>
      </c>
      <c r="E8" s="16">
        <f>IFERROR(-C8/D8,0)</f>
        <v>0</v>
      </c>
      <c r="F8" s="27" t="s">
        <v>127</v>
      </c>
    </row>
    <row r="9" spans="1:8" x14ac:dyDescent="0.25">
      <c r="A9" s="27" t="s">
        <v>131</v>
      </c>
      <c r="B9" s="27"/>
      <c r="C9" s="15">
        <f>-'02_ПОРТФЕЛЬ'!B7</f>
        <v>0</v>
      </c>
      <c r="D9" s="15">
        <f>'02_ПОРТФЕЛЬ'!B4+C9</f>
        <v>1000000</v>
      </c>
      <c r="E9" s="16">
        <f>IFERROR(-C9/D9,0)</f>
        <v>0</v>
      </c>
      <c r="F9" s="27" t="s">
        <v>132</v>
      </c>
    </row>
    <row r="12" spans="1:8" x14ac:dyDescent="0.25">
      <c r="A12" s="30" t="s">
        <v>133</v>
      </c>
      <c r="B12" s="31"/>
      <c r="C12" s="31"/>
      <c r="D12" s="31"/>
      <c r="E12" s="31"/>
      <c r="F12" s="31"/>
    </row>
    <row r="13" spans="1:8" x14ac:dyDescent="0.25">
      <c r="A13" s="31"/>
      <c r="B13" s="31"/>
      <c r="C13" s="31"/>
      <c r="D13" s="31"/>
      <c r="E13" s="31"/>
      <c r="F13" s="31"/>
    </row>
  </sheetData>
  <mergeCells count="3">
    <mergeCell ref="A3:F3"/>
    <mergeCell ref="A12:F13"/>
    <mergeCell ref="A1:H1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67"/>
  <sheetViews>
    <sheetView showGridLines="0" workbookViewId="0">
      <pane ySplit="4" topLeftCell="A5" activePane="bottomLeft" state="frozen"/>
      <selection pane="bottomLeft" sqref="A1:Q1"/>
    </sheetView>
  </sheetViews>
  <sheetFormatPr defaultRowHeight="15" x14ac:dyDescent="0.25"/>
  <cols>
    <col min="1" max="1" width="13" customWidth="1"/>
    <col min="2" max="2" width="12" customWidth="1"/>
    <col min="3" max="3" width="28" customWidth="1"/>
    <col min="4" max="4" width="12" customWidth="1"/>
    <col min="5" max="6" width="13" customWidth="1"/>
    <col min="7" max="7" width="11" customWidth="1"/>
    <col min="8" max="8" width="12" customWidth="1"/>
    <col min="9" max="9" width="13" customWidth="1"/>
    <col min="10" max="10" width="12" customWidth="1"/>
    <col min="11" max="11" width="17" customWidth="1"/>
    <col min="12" max="12" width="14" customWidth="1"/>
    <col min="13" max="14" width="11" customWidth="1"/>
    <col min="15" max="15" width="13" customWidth="1"/>
    <col min="16" max="16" width="11" customWidth="1"/>
    <col min="17" max="17" width="24" customWidth="1"/>
  </cols>
  <sheetData>
    <row r="1" spans="1:17" ht="27.95" customHeight="1" x14ac:dyDescent="0.25">
      <c r="A1" s="32" t="s">
        <v>134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3" spans="1:17" x14ac:dyDescent="0.25">
      <c r="A3" s="35" t="s">
        <v>135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x14ac:dyDescent="0.25">
      <c r="A4" s="23" t="s">
        <v>136</v>
      </c>
      <c r="B4" s="23" t="s">
        <v>25</v>
      </c>
      <c r="C4" s="23" t="s">
        <v>137</v>
      </c>
      <c r="D4" s="23" t="s">
        <v>29</v>
      </c>
      <c r="E4" s="23" t="s">
        <v>138</v>
      </c>
      <c r="F4" s="23" t="s">
        <v>99</v>
      </c>
      <c r="G4" s="23" t="s">
        <v>139</v>
      </c>
      <c r="H4" s="23" t="s">
        <v>100</v>
      </c>
      <c r="I4" s="23" t="s">
        <v>140</v>
      </c>
      <c r="J4" s="23" t="s">
        <v>104</v>
      </c>
      <c r="K4" s="23" t="s">
        <v>141</v>
      </c>
      <c r="L4" s="23" t="s">
        <v>73</v>
      </c>
      <c r="M4" s="23" t="s">
        <v>142</v>
      </c>
      <c r="N4" s="23" t="s">
        <v>143</v>
      </c>
      <c r="O4" s="23" t="s">
        <v>144</v>
      </c>
      <c r="P4" s="23" t="s">
        <v>145</v>
      </c>
      <c r="Q4" s="23" t="s">
        <v>146</v>
      </c>
    </row>
    <row r="5" spans="1:17" x14ac:dyDescent="0.25">
      <c r="A5" s="2"/>
      <c r="B5" s="2"/>
      <c r="C5" s="2"/>
      <c r="D5" s="2"/>
      <c r="E5" s="2"/>
      <c r="F5" s="2"/>
      <c r="G5" s="2"/>
      <c r="H5" s="3">
        <f t="shared" ref="H5:H36" si="0">IFERROR(ABS(E5-F5),0)</f>
        <v>0</v>
      </c>
      <c r="I5" s="3">
        <f t="shared" ref="I5:I36" si="1">IFERROR(G5*H5,0)</f>
        <v>0</v>
      </c>
      <c r="J5" s="17">
        <v>0.75</v>
      </c>
      <c r="K5" s="3">
        <f t="shared" ref="K5:K36" si="2">IF(D5="LONG",E5+H5*J5,E5-H5*J5)</f>
        <v>0</v>
      </c>
      <c r="L5" s="2"/>
      <c r="M5" s="28"/>
      <c r="N5" s="28"/>
      <c r="O5" s="2"/>
      <c r="P5" s="28"/>
      <c r="Q5" s="2"/>
    </row>
    <row r="6" spans="1:17" x14ac:dyDescent="0.25">
      <c r="A6" s="2"/>
      <c r="B6" s="2"/>
      <c r="C6" s="2"/>
      <c r="D6" s="2"/>
      <c r="E6" s="2"/>
      <c r="F6" s="2"/>
      <c r="G6" s="2"/>
      <c r="H6" s="3">
        <f t="shared" si="0"/>
        <v>0</v>
      </c>
      <c r="I6" s="3">
        <f t="shared" si="1"/>
        <v>0</v>
      </c>
      <c r="J6" s="17">
        <v>0.75</v>
      </c>
      <c r="K6" s="3">
        <f t="shared" si="2"/>
        <v>0</v>
      </c>
      <c r="L6" s="2"/>
      <c r="M6" s="28"/>
      <c r="N6" s="28"/>
      <c r="O6" s="2"/>
      <c r="P6" s="28"/>
      <c r="Q6" s="2"/>
    </row>
    <row r="7" spans="1:17" x14ac:dyDescent="0.25">
      <c r="A7" s="2"/>
      <c r="B7" s="2"/>
      <c r="C7" s="2"/>
      <c r="D7" s="2"/>
      <c r="E7" s="2"/>
      <c r="F7" s="2"/>
      <c r="G7" s="2"/>
      <c r="H7" s="3">
        <f t="shared" si="0"/>
        <v>0</v>
      </c>
      <c r="I7" s="3">
        <f t="shared" si="1"/>
        <v>0</v>
      </c>
      <c r="J7" s="17">
        <v>0.75</v>
      </c>
      <c r="K7" s="3">
        <f t="shared" si="2"/>
        <v>0</v>
      </c>
      <c r="L7" s="2"/>
      <c r="M7" s="28"/>
      <c r="N7" s="28"/>
      <c r="O7" s="2"/>
      <c r="P7" s="28"/>
      <c r="Q7" s="2"/>
    </row>
    <row r="8" spans="1:17" x14ac:dyDescent="0.25">
      <c r="A8" s="2"/>
      <c r="B8" s="2"/>
      <c r="C8" s="2"/>
      <c r="D8" s="2"/>
      <c r="E8" s="2"/>
      <c r="F8" s="2"/>
      <c r="G8" s="2"/>
      <c r="H8" s="3">
        <f t="shared" si="0"/>
        <v>0</v>
      </c>
      <c r="I8" s="3">
        <f t="shared" si="1"/>
        <v>0</v>
      </c>
      <c r="J8" s="17">
        <v>0.75</v>
      </c>
      <c r="K8" s="3">
        <f t="shared" si="2"/>
        <v>0</v>
      </c>
      <c r="L8" s="2"/>
      <c r="M8" s="28"/>
      <c r="N8" s="28"/>
      <c r="O8" s="2"/>
      <c r="P8" s="28"/>
      <c r="Q8" s="2"/>
    </row>
    <row r="9" spans="1:17" x14ac:dyDescent="0.25">
      <c r="A9" s="2"/>
      <c r="B9" s="2"/>
      <c r="C9" s="2"/>
      <c r="D9" s="2"/>
      <c r="E9" s="2"/>
      <c r="F9" s="2"/>
      <c r="G9" s="2"/>
      <c r="H9" s="3">
        <f t="shared" si="0"/>
        <v>0</v>
      </c>
      <c r="I9" s="3">
        <f t="shared" si="1"/>
        <v>0</v>
      </c>
      <c r="J9" s="17">
        <v>0.75</v>
      </c>
      <c r="K9" s="3">
        <f t="shared" si="2"/>
        <v>0</v>
      </c>
      <c r="L9" s="2"/>
      <c r="M9" s="28"/>
      <c r="N9" s="28"/>
      <c r="O9" s="2"/>
      <c r="P9" s="28"/>
      <c r="Q9" s="2"/>
    </row>
    <row r="10" spans="1:17" x14ac:dyDescent="0.25">
      <c r="A10" s="2"/>
      <c r="B10" s="2"/>
      <c r="C10" s="2"/>
      <c r="D10" s="2"/>
      <c r="E10" s="2"/>
      <c r="F10" s="2"/>
      <c r="G10" s="2"/>
      <c r="H10" s="3">
        <f t="shared" si="0"/>
        <v>0</v>
      </c>
      <c r="I10" s="3">
        <f t="shared" si="1"/>
        <v>0</v>
      </c>
      <c r="J10" s="17">
        <v>0.75</v>
      </c>
      <c r="K10" s="3">
        <f t="shared" si="2"/>
        <v>0</v>
      </c>
      <c r="L10" s="2"/>
      <c r="M10" s="28"/>
      <c r="N10" s="28"/>
      <c r="O10" s="2"/>
      <c r="P10" s="28"/>
      <c r="Q10" s="2"/>
    </row>
    <row r="11" spans="1:17" x14ac:dyDescent="0.25">
      <c r="A11" s="2"/>
      <c r="B11" s="2"/>
      <c r="C11" s="2"/>
      <c r="D11" s="2"/>
      <c r="E11" s="2"/>
      <c r="F11" s="2"/>
      <c r="G11" s="2"/>
      <c r="H11" s="3">
        <f t="shared" si="0"/>
        <v>0</v>
      </c>
      <c r="I11" s="3">
        <f t="shared" si="1"/>
        <v>0</v>
      </c>
      <c r="J11" s="17">
        <v>0.75</v>
      </c>
      <c r="K11" s="3">
        <f t="shared" si="2"/>
        <v>0</v>
      </c>
      <c r="L11" s="2"/>
      <c r="M11" s="28"/>
      <c r="N11" s="28"/>
      <c r="O11" s="2"/>
      <c r="P11" s="28"/>
      <c r="Q11" s="2"/>
    </row>
    <row r="12" spans="1:17" x14ac:dyDescent="0.25">
      <c r="A12" s="2"/>
      <c r="B12" s="2"/>
      <c r="C12" s="2"/>
      <c r="D12" s="2"/>
      <c r="E12" s="2"/>
      <c r="F12" s="2"/>
      <c r="G12" s="2"/>
      <c r="H12" s="3">
        <f t="shared" si="0"/>
        <v>0</v>
      </c>
      <c r="I12" s="3">
        <f t="shared" si="1"/>
        <v>0</v>
      </c>
      <c r="J12" s="17">
        <v>0.75</v>
      </c>
      <c r="K12" s="3">
        <f t="shared" si="2"/>
        <v>0</v>
      </c>
      <c r="L12" s="2"/>
      <c r="M12" s="28"/>
      <c r="N12" s="28"/>
      <c r="O12" s="2"/>
      <c r="P12" s="28"/>
      <c r="Q12" s="2"/>
    </row>
    <row r="13" spans="1:17" x14ac:dyDescent="0.25">
      <c r="A13" s="2"/>
      <c r="B13" s="2"/>
      <c r="C13" s="2"/>
      <c r="D13" s="2"/>
      <c r="E13" s="2"/>
      <c r="F13" s="2"/>
      <c r="G13" s="2"/>
      <c r="H13" s="3">
        <f t="shared" si="0"/>
        <v>0</v>
      </c>
      <c r="I13" s="3">
        <f t="shared" si="1"/>
        <v>0</v>
      </c>
      <c r="J13" s="17">
        <v>0.75</v>
      </c>
      <c r="K13" s="3">
        <f t="shared" si="2"/>
        <v>0</v>
      </c>
      <c r="L13" s="2"/>
      <c r="M13" s="28"/>
      <c r="N13" s="28"/>
      <c r="O13" s="2"/>
      <c r="P13" s="28"/>
      <c r="Q13" s="2"/>
    </row>
    <row r="14" spans="1:17" x14ac:dyDescent="0.25">
      <c r="A14" s="2"/>
      <c r="B14" s="2"/>
      <c r="C14" s="2"/>
      <c r="D14" s="2"/>
      <c r="E14" s="2"/>
      <c r="F14" s="2"/>
      <c r="G14" s="2"/>
      <c r="H14" s="3">
        <f t="shared" si="0"/>
        <v>0</v>
      </c>
      <c r="I14" s="3">
        <f t="shared" si="1"/>
        <v>0</v>
      </c>
      <c r="J14" s="17">
        <v>0.75</v>
      </c>
      <c r="K14" s="3">
        <f t="shared" si="2"/>
        <v>0</v>
      </c>
      <c r="L14" s="2"/>
      <c r="M14" s="28"/>
      <c r="N14" s="28"/>
      <c r="O14" s="2"/>
      <c r="P14" s="28"/>
      <c r="Q14" s="2"/>
    </row>
    <row r="15" spans="1:17" x14ac:dyDescent="0.25">
      <c r="A15" s="2"/>
      <c r="B15" s="2"/>
      <c r="C15" s="2"/>
      <c r="D15" s="2"/>
      <c r="E15" s="2"/>
      <c r="F15" s="2"/>
      <c r="G15" s="2"/>
      <c r="H15" s="3">
        <f t="shared" si="0"/>
        <v>0</v>
      </c>
      <c r="I15" s="3">
        <f t="shared" si="1"/>
        <v>0</v>
      </c>
      <c r="J15" s="17">
        <v>0.75</v>
      </c>
      <c r="K15" s="3">
        <f t="shared" si="2"/>
        <v>0</v>
      </c>
      <c r="L15" s="2"/>
      <c r="M15" s="28"/>
      <c r="N15" s="28"/>
      <c r="O15" s="2"/>
      <c r="P15" s="28"/>
      <c r="Q15" s="2"/>
    </row>
    <row r="16" spans="1:17" x14ac:dyDescent="0.25">
      <c r="A16" s="2"/>
      <c r="B16" s="2"/>
      <c r="C16" s="2"/>
      <c r="D16" s="2"/>
      <c r="E16" s="2"/>
      <c r="F16" s="2"/>
      <c r="G16" s="2"/>
      <c r="H16" s="3">
        <f t="shared" si="0"/>
        <v>0</v>
      </c>
      <c r="I16" s="3">
        <f t="shared" si="1"/>
        <v>0</v>
      </c>
      <c r="J16" s="17">
        <v>0.75</v>
      </c>
      <c r="K16" s="3">
        <f t="shared" si="2"/>
        <v>0</v>
      </c>
      <c r="L16" s="2"/>
      <c r="M16" s="28"/>
      <c r="N16" s="28"/>
      <c r="O16" s="2"/>
      <c r="P16" s="28"/>
      <c r="Q16" s="2"/>
    </row>
    <row r="17" spans="1:17" x14ac:dyDescent="0.25">
      <c r="A17" s="2"/>
      <c r="B17" s="2"/>
      <c r="C17" s="2"/>
      <c r="D17" s="2"/>
      <c r="E17" s="2"/>
      <c r="F17" s="2"/>
      <c r="G17" s="2"/>
      <c r="H17" s="3">
        <f t="shared" si="0"/>
        <v>0</v>
      </c>
      <c r="I17" s="3">
        <f t="shared" si="1"/>
        <v>0</v>
      </c>
      <c r="J17" s="17">
        <v>0.75</v>
      </c>
      <c r="K17" s="3">
        <f t="shared" si="2"/>
        <v>0</v>
      </c>
      <c r="L17" s="2"/>
      <c r="M17" s="28"/>
      <c r="N17" s="28"/>
      <c r="O17" s="2"/>
      <c r="P17" s="28"/>
      <c r="Q17" s="2"/>
    </row>
    <row r="18" spans="1:17" x14ac:dyDescent="0.25">
      <c r="A18" s="2"/>
      <c r="B18" s="2"/>
      <c r="C18" s="2"/>
      <c r="D18" s="2"/>
      <c r="E18" s="2"/>
      <c r="F18" s="2"/>
      <c r="G18" s="2"/>
      <c r="H18" s="3">
        <f t="shared" si="0"/>
        <v>0</v>
      </c>
      <c r="I18" s="3">
        <f t="shared" si="1"/>
        <v>0</v>
      </c>
      <c r="J18" s="17">
        <v>0.75</v>
      </c>
      <c r="K18" s="3">
        <f t="shared" si="2"/>
        <v>0</v>
      </c>
      <c r="L18" s="2"/>
      <c r="M18" s="28"/>
      <c r="N18" s="28"/>
      <c r="O18" s="2"/>
      <c r="P18" s="28"/>
      <c r="Q18" s="2"/>
    </row>
    <row r="19" spans="1:17" x14ac:dyDescent="0.25">
      <c r="A19" s="2"/>
      <c r="B19" s="2"/>
      <c r="C19" s="2"/>
      <c r="D19" s="2"/>
      <c r="E19" s="2"/>
      <c r="F19" s="2"/>
      <c r="G19" s="2"/>
      <c r="H19" s="3">
        <f t="shared" si="0"/>
        <v>0</v>
      </c>
      <c r="I19" s="3">
        <f t="shared" si="1"/>
        <v>0</v>
      </c>
      <c r="J19" s="17">
        <v>0.75</v>
      </c>
      <c r="K19" s="3">
        <f t="shared" si="2"/>
        <v>0</v>
      </c>
      <c r="L19" s="2"/>
      <c r="M19" s="28"/>
      <c r="N19" s="28"/>
      <c r="O19" s="2"/>
      <c r="P19" s="28"/>
      <c r="Q19" s="2"/>
    </row>
    <row r="20" spans="1:17" x14ac:dyDescent="0.25">
      <c r="A20" s="2"/>
      <c r="B20" s="2"/>
      <c r="C20" s="2"/>
      <c r="D20" s="2"/>
      <c r="E20" s="2"/>
      <c r="F20" s="2"/>
      <c r="G20" s="2"/>
      <c r="H20" s="3">
        <f t="shared" si="0"/>
        <v>0</v>
      </c>
      <c r="I20" s="3">
        <f t="shared" si="1"/>
        <v>0</v>
      </c>
      <c r="J20" s="17">
        <v>0.75</v>
      </c>
      <c r="K20" s="3">
        <f t="shared" si="2"/>
        <v>0</v>
      </c>
      <c r="L20" s="2"/>
      <c r="M20" s="28"/>
      <c r="N20" s="28"/>
      <c r="O20" s="2"/>
      <c r="P20" s="28"/>
      <c r="Q20" s="2"/>
    </row>
    <row r="21" spans="1:17" x14ac:dyDescent="0.25">
      <c r="A21" s="2"/>
      <c r="B21" s="2"/>
      <c r="C21" s="2"/>
      <c r="D21" s="2"/>
      <c r="E21" s="2"/>
      <c r="F21" s="2"/>
      <c r="G21" s="2"/>
      <c r="H21" s="3">
        <f t="shared" si="0"/>
        <v>0</v>
      </c>
      <c r="I21" s="3">
        <f t="shared" si="1"/>
        <v>0</v>
      </c>
      <c r="J21" s="17">
        <v>0.75</v>
      </c>
      <c r="K21" s="3">
        <f t="shared" si="2"/>
        <v>0</v>
      </c>
      <c r="L21" s="2"/>
      <c r="M21" s="28"/>
      <c r="N21" s="28"/>
      <c r="O21" s="2"/>
      <c r="P21" s="28"/>
      <c r="Q21" s="2"/>
    </row>
    <row r="22" spans="1:17" x14ac:dyDescent="0.25">
      <c r="A22" s="2"/>
      <c r="B22" s="2"/>
      <c r="C22" s="2"/>
      <c r="D22" s="2"/>
      <c r="E22" s="2"/>
      <c r="F22" s="2"/>
      <c r="G22" s="2"/>
      <c r="H22" s="3">
        <f t="shared" si="0"/>
        <v>0</v>
      </c>
      <c r="I22" s="3">
        <f t="shared" si="1"/>
        <v>0</v>
      </c>
      <c r="J22" s="17">
        <v>0.75</v>
      </c>
      <c r="K22" s="3">
        <f t="shared" si="2"/>
        <v>0</v>
      </c>
      <c r="L22" s="2"/>
      <c r="M22" s="28"/>
      <c r="N22" s="28"/>
      <c r="O22" s="2"/>
      <c r="P22" s="28"/>
      <c r="Q22" s="2"/>
    </row>
    <row r="23" spans="1:17" x14ac:dyDescent="0.25">
      <c r="A23" s="2"/>
      <c r="B23" s="2"/>
      <c r="C23" s="2"/>
      <c r="D23" s="2"/>
      <c r="E23" s="2"/>
      <c r="F23" s="2"/>
      <c r="G23" s="2"/>
      <c r="H23" s="3">
        <f t="shared" si="0"/>
        <v>0</v>
      </c>
      <c r="I23" s="3">
        <f t="shared" si="1"/>
        <v>0</v>
      </c>
      <c r="J23" s="17">
        <v>0.75</v>
      </c>
      <c r="K23" s="3">
        <f t="shared" si="2"/>
        <v>0</v>
      </c>
      <c r="L23" s="2"/>
      <c r="M23" s="28"/>
      <c r="N23" s="28"/>
      <c r="O23" s="2"/>
      <c r="P23" s="28"/>
      <c r="Q23" s="2"/>
    </row>
    <row r="24" spans="1:17" x14ac:dyDescent="0.25">
      <c r="A24" s="2"/>
      <c r="B24" s="2"/>
      <c r="C24" s="2"/>
      <c r="D24" s="2"/>
      <c r="E24" s="2"/>
      <c r="F24" s="2"/>
      <c r="G24" s="2"/>
      <c r="H24" s="3">
        <f t="shared" si="0"/>
        <v>0</v>
      </c>
      <c r="I24" s="3">
        <f t="shared" si="1"/>
        <v>0</v>
      </c>
      <c r="J24" s="17">
        <v>0.75</v>
      </c>
      <c r="K24" s="3">
        <f t="shared" si="2"/>
        <v>0</v>
      </c>
      <c r="L24" s="2"/>
      <c r="M24" s="28"/>
      <c r="N24" s="28"/>
      <c r="O24" s="2"/>
      <c r="P24" s="28"/>
      <c r="Q24" s="2"/>
    </row>
    <row r="25" spans="1:17" x14ac:dyDescent="0.25">
      <c r="A25" s="2"/>
      <c r="B25" s="2"/>
      <c r="C25" s="2"/>
      <c r="D25" s="2"/>
      <c r="E25" s="2"/>
      <c r="F25" s="2"/>
      <c r="G25" s="2"/>
      <c r="H25" s="3">
        <f t="shared" si="0"/>
        <v>0</v>
      </c>
      <c r="I25" s="3">
        <f t="shared" si="1"/>
        <v>0</v>
      </c>
      <c r="J25" s="17">
        <v>0.75</v>
      </c>
      <c r="K25" s="3">
        <f t="shared" si="2"/>
        <v>0</v>
      </c>
      <c r="L25" s="2"/>
      <c r="M25" s="28"/>
      <c r="N25" s="28"/>
      <c r="O25" s="2"/>
      <c r="P25" s="28"/>
      <c r="Q25" s="2"/>
    </row>
    <row r="26" spans="1:17" x14ac:dyDescent="0.25">
      <c r="A26" s="2"/>
      <c r="B26" s="2"/>
      <c r="C26" s="2"/>
      <c r="D26" s="2"/>
      <c r="E26" s="2"/>
      <c r="F26" s="2"/>
      <c r="G26" s="2"/>
      <c r="H26" s="3">
        <f t="shared" si="0"/>
        <v>0</v>
      </c>
      <c r="I26" s="3">
        <f t="shared" si="1"/>
        <v>0</v>
      </c>
      <c r="J26" s="17">
        <v>0.75</v>
      </c>
      <c r="K26" s="3">
        <f t="shared" si="2"/>
        <v>0</v>
      </c>
      <c r="L26" s="2"/>
      <c r="M26" s="28"/>
      <c r="N26" s="28"/>
      <c r="O26" s="2"/>
      <c r="P26" s="28"/>
      <c r="Q26" s="2"/>
    </row>
    <row r="27" spans="1:17" x14ac:dyDescent="0.25">
      <c r="A27" s="2"/>
      <c r="B27" s="2"/>
      <c r="C27" s="2"/>
      <c r="D27" s="2"/>
      <c r="E27" s="2"/>
      <c r="F27" s="2"/>
      <c r="G27" s="2"/>
      <c r="H27" s="3">
        <f t="shared" si="0"/>
        <v>0</v>
      </c>
      <c r="I27" s="3">
        <f t="shared" si="1"/>
        <v>0</v>
      </c>
      <c r="J27" s="17">
        <v>0.75</v>
      </c>
      <c r="K27" s="3">
        <f t="shared" si="2"/>
        <v>0</v>
      </c>
      <c r="L27" s="2"/>
      <c r="M27" s="28"/>
      <c r="N27" s="28"/>
      <c r="O27" s="2"/>
      <c r="P27" s="28"/>
      <c r="Q27" s="2"/>
    </row>
    <row r="28" spans="1:17" x14ac:dyDescent="0.25">
      <c r="A28" s="2"/>
      <c r="B28" s="2"/>
      <c r="C28" s="2"/>
      <c r="D28" s="2"/>
      <c r="E28" s="2"/>
      <c r="F28" s="2"/>
      <c r="G28" s="2"/>
      <c r="H28" s="3">
        <f t="shared" si="0"/>
        <v>0</v>
      </c>
      <c r="I28" s="3">
        <f t="shared" si="1"/>
        <v>0</v>
      </c>
      <c r="J28" s="17">
        <v>0.75</v>
      </c>
      <c r="K28" s="3">
        <f t="shared" si="2"/>
        <v>0</v>
      </c>
      <c r="L28" s="2"/>
      <c r="M28" s="28"/>
      <c r="N28" s="28"/>
      <c r="O28" s="2"/>
      <c r="P28" s="28"/>
      <c r="Q28" s="2"/>
    </row>
    <row r="29" spans="1:17" x14ac:dyDescent="0.25">
      <c r="A29" s="2"/>
      <c r="B29" s="2"/>
      <c r="C29" s="2"/>
      <c r="D29" s="2"/>
      <c r="E29" s="2"/>
      <c r="F29" s="2"/>
      <c r="G29" s="2"/>
      <c r="H29" s="3">
        <f t="shared" si="0"/>
        <v>0</v>
      </c>
      <c r="I29" s="3">
        <f t="shared" si="1"/>
        <v>0</v>
      </c>
      <c r="J29" s="17">
        <v>0.75</v>
      </c>
      <c r="K29" s="3">
        <f t="shared" si="2"/>
        <v>0</v>
      </c>
      <c r="L29" s="2"/>
      <c r="M29" s="28"/>
      <c r="N29" s="28"/>
      <c r="O29" s="2"/>
      <c r="P29" s="28"/>
      <c r="Q29" s="2"/>
    </row>
    <row r="30" spans="1:17" x14ac:dyDescent="0.25">
      <c r="A30" s="2"/>
      <c r="B30" s="2"/>
      <c r="C30" s="2"/>
      <c r="D30" s="2"/>
      <c r="E30" s="2"/>
      <c r="F30" s="2"/>
      <c r="G30" s="2"/>
      <c r="H30" s="3">
        <f t="shared" si="0"/>
        <v>0</v>
      </c>
      <c r="I30" s="3">
        <f t="shared" si="1"/>
        <v>0</v>
      </c>
      <c r="J30" s="17">
        <v>0.75</v>
      </c>
      <c r="K30" s="3">
        <f t="shared" si="2"/>
        <v>0</v>
      </c>
      <c r="L30" s="2"/>
      <c r="M30" s="28"/>
      <c r="N30" s="28"/>
      <c r="O30" s="2"/>
      <c r="P30" s="28"/>
      <c r="Q30" s="2"/>
    </row>
    <row r="31" spans="1:17" x14ac:dyDescent="0.25">
      <c r="A31" s="2"/>
      <c r="B31" s="2"/>
      <c r="C31" s="2"/>
      <c r="D31" s="2"/>
      <c r="E31" s="2"/>
      <c r="F31" s="2"/>
      <c r="G31" s="2"/>
      <c r="H31" s="3">
        <f t="shared" si="0"/>
        <v>0</v>
      </c>
      <c r="I31" s="3">
        <f t="shared" si="1"/>
        <v>0</v>
      </c>
      <c r="J31" s="17">
        <v>0.75</v>
      </c>
      <c r="K31" s="3">
        <f t="shared" si="2"/>
        <v>0</v>
      </c>
      <c r="L31" s="2"/>
      <c r="M31" s="28"/>
      <c r="N31" s="28"/>
      <c r="O31" s="2"/>
      <c r="P31" s="28"/>
      <c r="Q31" s="2"/>
    </row>
    <row r="32" spans="1:17" x14ac:dyDescent="0.25">
      <c r="A32" s="2"/>
      <c r="B32" s="2"/>
      <c r="C32" s="2"/>
      <c r="D32" s="2"/>
      <c r="E32" s="2"/>
      <c r="F32" s="2"/>
      <c r="G32" s="2"/>
      <c r="H32" s="3">
        <f t="shared" si="0"/>
        <v>0</v>
      </c>
      <c r="I32" s="3">
        <f t="shared" si="1"/>
        <v>0</v>
      </c>
      <c r="J32" s="17">
        <v>0.75</v>
      </c>
      <c r="K32" s="3">
        <f t="shared" si="2"/>
        <v>0</v>
      </c>
      <c r="L32" s="2"/>
      <c r="M32" s="28"/>
      <c r="N32" s="28"/>
      <c r="O32" s="2"/>
      <c r="P32" s="28"/>
      <c r="Q32" s="2"/>
    </row>
    <row r="33" spans="1:17" x14ac:dyDescent="0.25">
      <c r="A33" s="2"/>
      <c r="B33" s="2"/>
      <c r="C33" s="2"/>
      <c r="D33" s="2"/>
      <c r="E33" s="2"/>
      <c r="F33" s="2"/>
      <c r="G33" s="2"/>
      <c r="H33" s="3">
        <f t="shared" si="0"/>
        <v>0</v>
      </c>
      <c r="I33" s="3">
        <f t="shared" si="1"/>
        <v>0</v>
      </c>
      <c r="J33" s="17">
        <v>0.75</v>
      </c>
      <c r="K33" s="3">
        <f t="shared" si="2"/>
        <v>0</v>
      </c>
      <c r="L33" s="2"/>
      <c r="M33" s="28"/>
      <c r="N33" s="28"/>
      <c r="O33" s="2"/>
      <c r="P33" s="28"/>
      <c r="Q33" s="2"/>
    </row>
    <row r="34" spans="1:17" x14ac:dyDescent="0.25">
      <c r="A34" s="2"/>
      <c r="B34" s="2"/>
      <c r="C34" s="2"/>
      <c r="D34" s="2"/>
      <c r="E34" s="2"/>
      <c r="F34" s="2"/>
      <c r="G34" s="2"/>
      <c r="H34" s="3">
        <f t="shared" si="0"/>
        <v>0</v>
      </c>
      <c r="I34" s="3">
        <f t="shared" si="1"/>
        <v>0</v>
      </c>
      <c r="J34" s="17">
        <v>0.75</v>
      </c>
      <c r="K34" s="3">
        <f t="shared" si="2"/>
        <v>0</v>
      </c>
      <c r="L34" s="2"/>
      <c r="M34" s="28"/>
      <c r="N34" s="28"/>
      <c r="O34" s="2"/>
      <c r="P34" s="28"/>
      <c r="Q34" s="2"/>
    </row>
    <row r="35" spans="1:17" x14ac:dyDescent="0.25">
      <c r="A35" s="2"/>
      <c r="B35" s="2"/>
      <c r="C35" s="2"/>
      <c r="D35" s="2"/>
      <c r="E35" s="2"/>
      <c r="F35" s="2"/>
      <c r="G35" s="2"/>
      <c r="H35" s="3">
        <f t="shared" si="0"/>
        <v>0</v>
      </c>
      <c r="I35" s="3">
        <f t="shared" si="1"/>
        <v>0</v>
      </c>
      <c r="J35" s="17">
        <v>0.75</v>
      </c>
      <c r="K35" s="3">
        <f t="shared" si="2"/>
        <v>0</v>
      </c>
      <c r="L35" s="2"/>
      <c r="M35" s="28"/>
      <c r="N35" s="28"/>
      <c r="O35" s="2"/>
      <c r="P35" s="28"/>
      <c r="Q35" s="2"/>
    </row>
    <row r="36" spans="1:17" x14ac:dyDescent="0.25">
      <c r="A36" s="2"/>
      <c r="B36" s="2"/>
      <c r="C36" s="2"/>
      <c r="D36" s="2"/>
      <c r="E36" s="2"/>
      <c r="F36" s="2"/>
      <c r="G36" s="2"/>
      <c r="H36" s="3">
        <f t="shared" si="0"/>
        <v>0</v>
      </c>
      <c r="I36" s="3">
        <f t="shared" si="1"/>
        <v>0</v>
      </c>
      <c r="J36" s="17">
        <v>0.75</v>
      </c>
      <c r="K36" s="3">
        <f t="shared" si="2"/>
        <v>0</v>
      </c>
      <c r="L36" s="2"/>
      <c r="M36" s="28"/>
      <c r="N36" s="28"/>
      <c r="O36" s="2"/>
      <c r="P36" s="28"/>
      <c r="Q36" s="2"/>
    </row>
    <row r="37" spans="1:17" x14ac:dyDescent="0.25">
      <c r="A37" s="2"/>
      <c r="B37" s="2"/>
      <c r="C37" s="2"/>
      <c r="D37" s="2"/>
      <c r="E37" s="2"/>
      <c r="F37" s="2"/>
      <c r="G37" s="2"/>
      <c r="H37" s="3">
        <f t="shared" ref="H37:H54" si="3">IFERROR(ABS(E37-F37),0)</f>
        <v>0</v>
      </c>
      <c r="I37" s="3">
        <f t="shared" ref="I37:I54" si="4">IFERROR(G37*H37,0)</f>
        <v>0</v>
      </c>
      <c r="J37" s="17">
        <v>0.75</v>
      </c>
      <c r="K37" s="3">
        <f t="shared" ref="K37:K54" si="5">IF(D37="LONG",E37+H37*J37,E37-H37*J37)</f>
        <v>0</v>
      </c>
      <c r="L37" s="2"/>
      <c r="M37" s="28"/>
      <c r="N37" s="28"/>
      <c r="O37" s="2"/>
      <c r="P37" s="28"/>
      <c r="Q37" s="2"/>
    </row>
    <row r="38" spans="1:17" x14ac:dyDescent="0.25">
      <c r="A38" s="2"/>
      <c r="B38" s="2"/>
      <c r="C38" s="2"/>
      <c r="D38" s="2"/>
      <c r="E38" s="2"/>
      <c r="F38" s="2"/>
      <c r="G38" s="2"/>
      <c r="H38" s="3">
        <f t="shared" si="3"/>
        <v>0</v>
      </c>
      <c r="I38" s="3">
        <f t="shared" si="4"/>
        <v>0</v>
      </c>
      <c r="J38" s="17">
        <v>0.75</v>
      </c>
      <c r="K38" s="3">
        <f t="shared" si="5"/>
        <v>0</v>
      </c>
      <c r="L38" s="2"/>
      <c r="M38" s="28"/>
      <c r="N38" s="28"/>
      <c r="O38" s="2"/>
      <c r="P38" s="28"/>
      <c r="Q38" s="2"/>
    </row>
    <row r="39" spans="1:17" x14ac:dyDescent="0.25">
      <c r="A39" s="2"/>
      <c r="B39" s="2"/>
      <c r="C39" s="2"/>
      <c r="D39" s="2"/>
      <c r="E39" s="2"/>
      <c r="F39" s="2"/>
      <c r="G39" s="2"/>
      <c r="H39" s="3">
        <f t="shared" si="3"/>
        <v>0</v>
      </c>
      <c r="I39" s="3">
        <f t="shared" si="4"/>
        <v>0</v>
      </c>
      <c r="J39" s="17">
        <v>0.75</v>
      </c>
      <c r="K39" s="3">
        <f t="shared" si="5"/>
        <v>0</v>
      </c>
      <c r="L39" s="2"/>
      <c r="M39" s="28"/>
      <c r="N39" s="28"/>
      <c r="O39" s="2"/>
      <c r="P39" s="28"/>
      <c r="Q39" s="2"/>
    </row>
    <row r="40" spans="1:17" x14ac:dyDescent="0.25">
      <c r="A40" s="2"/>
      <c r="B40" s="2"/>
      <c r="C40" s="2"/>
      <c r="D40" s="2"/>
      <c r="E40" s="2"/>
      <c r="F40" s="2"/>
      <c r="G40" s="2"/>
      <c r="H40" s="3">
        <f t="shared" si="3"/>
        <v>0</v>
      </c>
      <c r="I40" s="3">
        <f t="shared" si="4"/>
        <v>0</v>
      </c>
      <c r="J40" s="17">
        <v>0.75</v>
      </c>
      <c r="K40" s="3">
        <f t="shared" si="5"/>
        <v>0</v>
      </c>
      <c r="L40" s="2"/>
      <c r="M40" s="28"/>
      <c r="N40" s="28"/>
      <c r="O40" s="2"/>
      <c r="P40" s="28"/>
      <c r="Q40" s="2"/>
    </row>
    <row r="41" spans="1:17" x14ac:dyDescent="0.25">
      <c r="A41" s="2"/>
      <c r="B41" s="2"/>
      <c r="C41" s="2"/>
      <c r="D41" s="2"/>
      <c r="E41" s="2"/>
      <c r="F41" s="2"/>
      <c r="G41" s="2"/>
      <c r="H41" s="3">
        <f t="shared" si="3"/>
        <v>0</v>
      </c>
      <c r="I41" s="3">
        <f t="shared" si="4"/>
        <v>0</v>
      </c>
      <c r="J41" s="17">
        <v>0.75</v>
      </c>
      <c r="K41" s="3">
        <f t="shared" si="5"/>
        <v>0</v>
      </c>
      <c r="L41" s="2"/>
      <c r="M41" s="28"/>
      <c r="N41" s="28"/>
      <c r="O41" s="2"/>
      <c r="P41" s="28"/>
      <c r="Q41" s="2"/>
    </row>
    <row r="42" spans="1:17" x14ac:dyDescent="0.25">
      <c r="A42" s="2"/>
      <c r="B42" s="2"/>
      <c r="C42" s="2"/>
      <c r="D42" s="2"/>
      <c r="E42" s="2"/>
      <c r="F42" s="2"/>
      <c r="G42" s="2"/>
      <c r="H42" s="3">
        <f t="shared" si="3"/>
        <v>0</v>
      </c>
      <c r="I42" s="3">
        <f t="shared" si="4"/>
        <v>0</v>
      </c>
      <c r="J42" s="17">
        <v>0.75</v>
      </c>
      <c r="K42" s="3">
        <f t="shared" si="5"/>
        <v>0</v>
      </c>
      <c r="L42" s="2"/>
      <c r="M42" s="28"/>
      <c r="N42" s="28"/>
      <c r="O42" s="2"/>
      <c r="P42" s="28"/>
      <c r="Q42" s="2"/>
    </row>
    <row r="43" spans="1:17" x14ac:dyDescent="0.25">
      <c r="A43" s="2"/>
      <c r="B43" s="2"/>
      <c r="C43" s="2"/>
      <c r="D43" s="2"/>
      <c r="E43" s="2"/>
      <c r="F43" s="2"/>
      <c r="G43" s="2"/>
      <c r="H43" s="3">
        <f t="shared" si="3"/>
        <v>0</v>
      </c>
      <c r="I43" s="3">
        <f t="shared" si="4"/>
        <v>0</v>
      </c>
      <c r="J43" s="17">
        <v>0.75</v>
      </c>
      <c r="K43" s="3">
        <f t="shared" si="5"/>
        <v>0</v>
      </c>
      <c r="L43" s="2"/>
      <c r="M43" s="28"/>
      <c r="N43" s="28"/>
      <c r="O43" s="2"/>
      <c r="P43" s="28"/>
      <c r="Q43" s="2"/>
    </row>
    <row r="44" spans="1:17" x14ac:dyDescent="0.25">
      <c r="A44" s="2"/>
      <c r="B44" s="2"/>
      <c r="C44" s="2"/>
      <c r="D44" s="2"/>
      <c r="E44" s="2"/>
      <c r="F44" s="2"/>
      <c r="G44" s="2"/>
      <c r="H44" s="3">
        <f t="shared" si="3"/>
        <v>0</v>
      </c>
      <c r="I44" s="3">
        <f t="shared" si="4"/>
        <v>0</v>
      </c>
      <c r="J44" s="17">
        <v>0.75</v>
      </c>
      <c r="K44" s="3">
        <f t="shared" si="5"/>
        <v>0</v>
      </c>
      <c r="L44" s="2"/>
      <c r="M44" s="28"/>
      <c r="N44" s="28"/>
      <c r="O44" s="2"/>
      <c r="P44" s="28"/>
      <c r="Q44" s="2"/>
    </row>
    <row r="45" spans="1:17" x14ac:dyDescent="0.25">
      <c r="A45" s="2"/>
      <c r="B45" s="2"/>
      <c r="C45" s="2"/>
      <c r="D45" s="2"/>
      <c r="E45" s="2"/>
      <c r="F45" s="2"/>
      <c r="G45" s="2"/>
      <c r="H45" s="3">
        <f t="shared" si="3"/>
        <v>0</v>
      </c>
      <c r="I45" s="3">
        <f t="shared" si="4"/>
        <v>0</v>
      </c>
      <c r="J45" s="17">
        <v>0.75</v>
      </c>
      <c r="K45" s="3">
        <f t="shared" si="5"/>
        <v>0</v>
      </c>
      <c r="L45" s="2"/>
      <c r="M45" s="28"/>
      <c r="N45" s="28"/>
      <c r="O45" s="2"/>
      <c r="P45" s="28"/>
      <c r="Q45" s="2"/>
    </row>
    <row r="46" spans="1:17" x14ac:dyDescent="0.25">
      <c r="A46" s="2"/>
      <c r="B46" s="2"/>
      <c r="C46" s="2"/>
      <c r="D46" s="2"/>
      <c r="E46" s="2"/>
      <c r="F46" s="2"/>
      <c r="G46" s="2"/>
      <c r="H46" s="3">
        <f t="shared" si="3"/>
        <v>0</v>
      </c>
      <c r="I46" s="3">
        <f t="shared" si="4"/>
        <v>0</v>
      </c>
      <c r="J46" s="17">
        <v>0.75</v>
      </c>
      <c r="K46" s="3">
        <f t="shared" si="5"/>
        <v>0</v>
      </c>
      <c r="L46" s="2"/>
      <c r="M46" s="28"/>
      <c r="N46" s="28"/>
      <c r="O46" s="2"/>
      <c r="P46" s="28"/>
      <c r="Q46" s="2"/>
    </row>
    <row r="47" spans="1:17" x14ac:dyDescent="0.25">
      <c r="A47" s="2"/>
      <c r="B47" s="2"/>
      <c r="C47" s="2"/>
      <c r="D47" s="2"/>
      <c r="E47" s="2"/>
      <c r="F47" s="2"/>
      <c r="G47" s="2"/>
      <c r="H47" s="3">
        <f t="shared" si="3"/>
        <v>0</v>
      </c>
      <c r="I47" s="3">
        <f t="shared" si="4"/>
        <v>0</v>
      </c>
      <c r="J47" s="17">
        <v>0.75</v>
      </c>
      <c r="K47" s="3">
        <f t="shared" si="5"/>
        <v>0</v>
      </c>
      <c r="L47" s="2"/>
      <c r="M47" s="28"/>
      <c r="N47" s="28"/>
      <c r="O47" s="2"/>
      <c r="P47" s="28"/>
      <c r="Q47" s="2"/>
    </row>
    <row r="48" spans="1:17" x14ac:dyDescent="0.25">
      <c r="A48" s="2"/>
      <c r="B48" s="2"/>
      <c r="C48" s="2"/>
      <c r="D48" s="2"/>
      <c r="E48" s="2"/>
      <c r="F48" s="2"/>
      <c r="G48" s="2"/>
      <c r="H48" s="3">
        <f t="shared" si="3"/>
        <v>0</v>
      </c>
      <c r="I48" s="3">
        <f t="shared" si="4"/>
        <v>0</v>
      </c>
      <c r="J48" s="17">
        <v>0.75</v>
      </c>
      <c r="K48" s="3">
        <f t="shared" si="5"/>
        <v>0</v>
      </c>
      <c r="L48" s="2"/>
      <c r="M48" s="28"/>
      <c r="N48" s="28"/>
      <c r="O48" s="2"/>
      <c r="P48" s="28"/>
      <c r="Q48" s="2"/>
    </row>
    <row r="49" spans="1:17" x14ac:dyDescent="0.25">
      <c r="A49" s="2"/>
      <c r="B49" s="2"/>
      <c r="C49" s="2"/>
      <c r="D49" s="2"/>
      <c r="E49" s="2"/>
      <c r="F49" s="2"/>
      <c r="G49" s="2"/>
      <c r="H49" s="3">
        <f t="shared" si="3"/>
        <v>0</v>
      </c>
      <c r="I49" s="3">
        <f t="shared" si="4"/>
        <v>0</v>
      </c>
      <c r="J49" s="17">
        <v>0.75</v>
      </c>
      <c r="K49" s="3">
        <f t="shared" si="5"/>
        <v>0</v>
      </c>
      <c r="L49" s="2"/>
      <c r="M49" s="28"/>
      <c r="N49" s="28"/>
      <c r="O49" s="2"/>
      <c r="P49" s="28"/>
      <c r="Q49" s="2"/>
    </row>
    <row r="50" spans="1:17" x14ac:dyDescent="0.25">
      <c r="A50" s="2"/>
      <c r="B50" s="2"/>
      <c r="C50" s="2"/>
      <c r="D50" s="2"/>
      <c r="E50" s="2"/>
      <c r="F50" s="2"/>
      <c r="G50" s="2"/>
      <c r="H50" s="3">
        <f t="shared" si="3"/>
        <v>0</v>
      </c>
      <c r="I50" s="3">
        <f t="shared" si="4"/>
        <v>0</v>
      </c>
      <c r="J50" s="17">
        <v>0.75</v>
      </c>
      <c r="K50" s="3">
        <f t="shared" si="5"/>
        <v>0</v>
      </c>
      <c r="L50" s="2"/>
      <c r="M50" s="28"/>
      <c r="N50" s="28"/>
      <c r="O50" s="2"/>
      <c r="P50" s="28"/>
      <c r="Q50" s="2"/>
    </row>
    <row r="51" spans="1:17" x14ac:dyDescent="0.25">
      <c r="A51" s="2"/>
      <c r="B51" s="2"/>
      <c r="C51" s="2"/>
      <c r="D51" s="2"/>
      <c r="E51" s="2"/>
      <c r="F51" s="2"/>
      <c r="G51" s="2"/>
      <c r="H51" s="3">
        <f t="shared" si="3"/>
        <v>0</v>
      </c>
      <c r="I51" s="3">
        <f t="shared" si="4"/>
        <v>0</v>
      </c>
      <c r="J51" s="17">
        <v>0.75</v>
      </c>
      <c r="K51" s="3">
        <f t="shared" si="5"/>
        <v>0</v>
      </c>
      <c r="L51" s="2"/>
      <c r="M51" s="28"/>
      <c r="N51" s="28"/>
      <c r="O51" s="2"/>
      <c r="P51" s="28"/>
      <c r="Q51" s="2"/>
    </row>
    <row r="52" spans="1:17" x14ac:dyDescent="0.25">
      <c r="A52" s="2"/>
      <c r="B52" s="2"/>
      <c r="C52" s="2"/>
      <c r="D52" s="2"/>
      <c r="E52" s="2"/>
      <c r="F52" s="2"/>
      <c r="G52" s="2"/>
      <c r="H52" s="3">
        <f t="shared" si="3"/>
        <v>0</v>
      </c>
      <c r="I52" s="3">
        <f t="shared" si="4"/>
        <v>0</v>
      </c>
      <c r="J52" s="17">
        <v>0.75</v>
      </c>
      <c r="K52" s="3">
        <f t="shared" si="5"/>
        <v>0</v>
      </c>
      <c r="L52" s="2"/>
      <c r="M52" s="28"/>
      <c r="N52" s="28"/>
      <c r="O52" s="2"/>
      <c r="P52" s="28"/>
      <c r="Q52" s="2"/>
    </row>
    <row r="53" spans="1:17" x14ac:dyDescent="0.25">
      <c r="A53" s="2"/>
      <c r="B53" s="2"/>
      <c r="C53" s="2"/>
      <c r="D53" s="2"/>
      <c r="E53" s="2"/>
      <c r="F53" s="2"/>
      <c r="G53" s="2"/>
      <c r="H53" s="3">
        <f t="shared" si="3"/>
        <v>0</v>
      </c>
      <c r="I53" s="3">
        <f t="shared" si="4"/>
        <v>0</v>
      </c>
      <c r="J53" s="17">
        <v>0.75</v>
      </c>
      <c r="K53" s="3">
        <f t="shared" si="5"/>
        <v>0</v>
      </c>
      <c r="L53" s="2"/>
      <c r="M53" s="28"/>
      <c r="N53" s="28"/>
      <c r="O53" s="2"/>
      <c r="P53" s="28"/>
      <c r="Q53" s="2"/>
    </row>
    <row r="54" spans="1:17" x14ac:dyDescent="0.25">
      <c r="A54" s="2"/>
      <c r="B54" s="2"/>
      <c r="C54" s="2"/>
      <c r="D54" s="2"/>
      <c r="E54" s="2"/>
      <c r="F54" s="2"/>
      <c r="G54" s="2"/>
      <c r="H54" s="3">
        <f t="shared" si="3"/>
        <v>0</v>
      </c>
      <c r="I54" s="3">
        <f t="shared" si="4"/>
        <v>0</v>
      </c>
      <c r="J54" s="17">
        <v>0.75</v>
      </c>
      <c r="K54" s="3">
        <f t="shared" si="5"/>
        <v>0</v>
      </c>
      <c r="L54" s="2"/>
      <c r="M54" s="28"/>
      <c r="N54" s="28"/>
      <c r="O54" s="2"/>
      <c r="P54" s="28"/>
      <c r="Q54" s="2"/>
    </row>
    <row r="57" spans="1:17" x14ac:dyDescent="0.25">
      <c r="A57" s="35" t="s">
        <v>147</v>
      </c>
      <c r="B57" s="31"/>
      <c r="C57" s="31"/>
      <c r="D57" s="31"/>
      <c r="E57" s="31"/>
      <c r="F57" s="31"/>
    </row>
    <row r="58" spans="1:17" x14ac:dyDescent="0.25">
      <c r="A58" s="7" t="s">
        <v>148</v>
      </c>
      <c r="B58" s="18">
        <f>COUNT(A5:A54)</f>
        <v>0</v>
      </c>
    </row>
    <row r="59" spans="1:17" x14ac:dyDescent="0.25">
      <c r="A59" s="7" t="s">
        <v>149</v>
      </c>
      <c r="B59" s="29">
        <f>IFERROR(AVERAGE(P5:P54),0)</f>
        <v>0</v>
      </c>
    </row>
    <row r="60" spans="1:17" x14ac:dyDescent="0.25">
      <c r="A60" s="7" t="s">
        <v>150</v>
      </c>
      <c r="B60" s="29">
        <f>IFERROR(MEDIAN(P5:P54),0)</f>
        <v>0</v>
      </c>
    </row>
    <row r="61" spans="1:17" x14ac:dyDescent="0.25">
      <c r="A61" s="7" t="s">
        <v>151</v>
      </c>
      <c r="B61" s="29">
        <f>IFERROR(MAX(P5:P54),0)</f>
        <v>0</v>
      </c>
    </row>
    <row r="62" spans="1:17" x14ac:dyDescent="0.25">
      <c r="A62" s="7" t="s">
        <v>152</v>
      </c>
      <c r="B62" s="29">
        <f>IFERROR(MIN(P5:P54),0)</f>
        <v>0</v>
      </c>
    </row>
    <row r="63" spans="1:17" x14ac:dyDescent="0.25">
      <c r="A63" s="7" t="s">
        <v>153</v>
      </c>
      <c r="B63" s="18">
        <f>COUNTIF(P5:P54,"&lt;=-1")</f>
        <v>0</v>
      </c>
    </row>
    <row r="64" spans="1:17" x14ac:dyDescent="0.25">
      <c r="A64" s="7" t="s">
        <v>154</v>
      </c>
      <c r="B64" s="18">
        <f>COUNTIF(P5:P54,"&lt;=-0.5")</f>
        <v>0</v>
      </c>
    </row>
    <row r="65" spans="1:2" x14ac:dyDescent="0.25">
      <c r="A65" s="7" t="s">
        <v>155</v>
      </c>
      <c r="B65" s="18">
        <f>COUNTIF(P5:P54,"&gt;=0.75")</f>
        <v>0</v>
      </c>
    </row>
    <row r="66" spans="1:2" x14ac:dyDescent="0.25">
      <c r="A66" s="7" t="s">
        <v>156</v>
      </c>
      <c r="B66" s="18">
        <f>COUNTIF(P5:P54,"&gt;=1")</f>
        <v>0</v>
      </c>
    </row>
    <row r="67" spans="1:2" x14ac:dyDescent="0.25">
      <c r="A67" s="7" t="s">
        <v>157</v>
      </c>
      <c r="B67" s="18">
        <f>COUNTIF(P5:P54,"&gt;=2")</f>
        <v>0</v>
      </c>
    </row>
  </sheetData>
  <mergeCells count="3">
    <mergeCell ref="A3:Q3"/>
    <mergeCell ref="A1:Q1"/>
    <mergeCell ref="A57:F57"/>
  </mergeCells>
  <dataValidations count="1">
    <dataValidation type="list" allowBlank="1" sqref="D5:D54" xr:uid="{00000000-0002-0000-0500-000000000000}">
      <formula1>"LONG,SHORT"</formula1>
    </dataValidation>
  </dataValidation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33"/>
  <sheetViews>
    <sheetView showGridLines="0" workbookViewId="0">
      <selection activeCell="B12" sqref="B12"/>
    </sheetView>
  </sheetViews>
  <sheetFormatPr defaultRowHeight="15" x14ac:dyDescent="0.25"/>
  <cols>
    <col min="1" max="1" width="30" customWidth="1"/>
  </cols>
  <sheetData>
    <row r="1" spans="1:4" ht="27.95" customHeight="1" x14ac:dyDescent="0.25">
      <c r="A1" s="32" t="s">
        <v>158</v>
      </c>
      <c r="B1" s="31"/>
      <c r="C1" s="31"/>
      <c r="D1" s="31"/>
    </row>
    <row r="3" spans="1:4" x14ac:dyDescent="0.25">
      <c r="A3" s="35" t="s">
        <v>29</v>
      </c>
      <c r="B3" s="31"/>
    </row>
    <row r="4" spans="1:4" x14ac:dyDescent="0.25">
      <c r="A4" t="s">
        <v>30</v>
      </c>
    </row>
    <row r="5" spans="1:4" x14ac:dyDescent="0.25">
      <c r="A5" t="s">
        <v>159</v>
      </c>
    </row>
    <row r="7" spans="1:4" x14ac:dyDescent="0.25">
      <c r="A7" s="35" t="s">
        <v>160</v>
      </c>
      <c r="B7" s="31"/>
    </row>
    <row r="8" spans="1:4" x14ac:dyDescent="0.25">
      <c r="A8" t="s">
        <v>161</v>
      </c>
    </row>
    <row r="9" spans="1:4" x14ac:dyDescent="0.25">
      <c r="A9" t="s">
        <v>162</v>
      </c>
    </row>
    <row r="10" spans="1:4" x14ac:dyDescent="0.25">
      <c r="A10" t="s">
        <v>163</v>
      </c>
    </row>
    <row r="11" spans="1:4" x14ac:dyDescent="0.25">
      <c r="A11" t="s">
        <v>164</v>
      </c>
    </row>
    <row r="12" spans="1:4" x14ac:dyDescent="0.25">
      <c r="A12" t="s">
        <v>165</v>
      </c>
    </row>
    <row r="13" spans="1:4" x14ac:dyDescent="0.25">
      <c r="A13" t="s">
        <v>117</v>
      </c>
    </row>
    <row r="16" spans="1:4" x14ac:dyDescent="0.25">
      <c r="A16" s="35" t="s">
        <v>166</v>
      </c>
      <c r="B16" s="31"/>
    </row>
    <row r="17" spans="1:2" x14ac:dyDescent="0.25">
      <c r="A17" t="s">
        <v>111</v>
      </c>
    </row>
    <row r="18" spans="1:2" x14ac:dyDescent="0.25">
      <c r="A18" t="s">
        <v>112</v>
      </c>
    </row>
    <row r="19" spans="1:2" x14ac:dyDescent="0.25">
      <c r="A19" t="s">
        <v>113</v>
      </c>
    </row>
    <row r="20" spans="1:2" x14ac:dyDescent="0.25">
      <c r="A20" t="s">
        <v>114</v>
      </c>
    </row>
    <row r="21" spans="1:2" x14ac:dyDescent="0.25">
      <c r="A21" t="s">
        <v>115</v>
      </c>
    </row>
    <row r="22" spans="1:2" x14ac:dyDescent="0.25">
      <c r="A22" t="s">
        <v>116</v>
      </c>
    </row>
    <row r="23" spans="1:2" x14ac:dyDescent="0.25">
      <c r="A23" t="s">
        <v>117</v>
      </c>
    </row>
    <row r="26" spans="1:2" x14ac:dyDescent="0.25">
      <c r="A26" s="35" t="s">
        <v>167</v>
      </c>
      <c r="B26" s="31"/>
    </row>
    <row r="27" spans="1:2" x14ac:dyDescent="0.25">
      <c r="A27" t="s">
        <v>168</v>
      </c>
    </row>
    <row r="28" spans="1:2" x14ac:dyDescent="0.25">
      <c r="A28" t="s">
        <v>169</v>
      </c>
    </row>
    <row r="29" spans="1:2" x14ac:dyDescent="0.25">
      <c r="A29" t="s">
        <v>170</v>
      </c>
    </row>
    <row r="30" spans="1:2" x14ac:dyDescent="0.25">
      <c r="A30" t="s">
        <v>171</v>
      </c>
    </row>
    <row r="31" spans="1:2" x14ac:dyDescent="0.25">
      <c r="A31" t="s">
        <v>172</v>
      </c>
    </row>
    <row r="32" spans="1:2" x14ac:dyDescent="0.25">
      <c r="A32" t="s">
        <v>173</v>
      </c>
    </row>
    <row r="33" spans="1:1" x14ac:dyDescent="0.25">
      <c r="A33" t="s">
        <v>174</v>
      </c>
    </row>
  </sheetData>
  <mergeCells count="5">
    <mergeCell ref="A1:D1"/>
    <mergeCell ref="A26:B26"/>
    <mergeCell ref="A16:B16"/>
    <mergeCell ref="A7:B7"/>
    <mergeCell ref="A3:B3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00_ИНСТРУКЦИЯ</vt:lpstr>
      <vt:lpstr>01_КАЛЬКУЛЯТОР</vt:lpstr>
      <vt:lpstr>02_ПОРТФЕЛЬ</vt:lpstr>
      <vt:lpstr>03_РИСК</vt:lpstr>
      <vt:lpstr>04_СЦЕНАРИИ</vt:lpstr>
      <vt:lpstr>05_ЖУРНАЛ</vt:lpstr>
      <vt:lpstr>06_СПРАВОЧНИКИ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Ivanov Ivan</cp:lastModifiedBy>
  <dcterms:created xsi:type="dcterms:W3CDTF">2026-10-03T05:01:42Z</dcterms:created>
  <dcterms:modified xsi:type="dcterms:W3CDTF">2026-10-04T09:35:30Z</dcterms:modified>
</cp:coreProperties>
</file>